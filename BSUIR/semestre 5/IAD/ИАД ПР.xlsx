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insk\Documents\GitHub\study-repos\BSUIR\semestre 5\IAD\Rodevich's datasets\"/>
    </mc:Choice>
  </mc:AlternateContent>
  <xr:revisionPtr revIDLastSave="0" documentId="13_ncr:1_{300F685B-47FB-4D8B-B2AB-252F3E229213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Задание 1" sheetId="1" r:id="rId1"/>
    <sheet name="Задание 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I48" i="2" l="1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H18" i="2"/>
  <c r="H14" i="2"/>
  <c r="H10" i="2"/>
  <c r="H6" i="2"/>
  <c r="F5" i="2"/>
  <c r="F4" i="2"/>
  <c r="D4" i="2"/>
  <c r="D3" i="2"/>
  <c r="F2" i="2"/>
  <c r="D2" i="2"/>
  <c r="H21" i="2" s="1"/>
  <c r="H4" i="2" l="1"/>
  <c r="H7" i="2"/>
  <c r="H11" i="2"/>
  <c r="H15" i="2"/>
  <c r="H19" i="2"/>
  <c r="H16" i="2"/>
  <c r="H3" i="2"/>
  <c r="H8" i="2"/>
  <c r="H12" i="2"/>
  <c r="H20" i="2"/>
  <c r="H2" i="2"/>
  <c r="H5" i="2"/>
  <c r="H9" i="2"/>
  <c r="H13" i="2"/>
  <c r="H17" i="2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6" i="1"/>
  <c r="AR7" i="1"/>
  <c r="AR8" i="1"/>
  <c r="AR9" i="1"/>
  <c r="AR3" i="1"/>
  <c r="AR4" i="1"/>
  <c r="AR5" i="1"/>
  <c r="AR2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" i="1"/>
  <c r="AE2" i="1"/>
  <c r="E501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3" i="1"/>
  <c r="E4" i="1"/>
  <c r="E2" i="1"/>
</calcChain>
</file>

<file path=xl/sharedStrings.xml><?xml version="1.0" encoding="utf-8"?>
<sst xmlns="http://schemas.openxmlformats.org/spreadsheetml/2006/main" count="101" uniqueCount="45">
  <si>
    <t>1000 чисел</t>
  </si>
  <si>
    <t>500 чисел</t>
  </si>
  <si>
    <t>Исправленные 500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</si>
  <si>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</si>
  <si>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</si>
  <si>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</si>
  <si>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</si>
  <si>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</si>
  <si>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</si>
  <si>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</si>
  <si>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</si>
  <si>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</si>
  <si>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</si>
  <si>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</si>
  <si>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</si>
  <si>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</si>
  <si>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Наибольший(1)</t>
  </si>
  <si>
    <t>Наименьший(1)</t>
  </si>
  <si>
    <t>Уровень надежности(95,0%)</t>
  </si>
  <si>
    <t>Описательная статистика по 1000</t>
  </si>
  <si>
    <t>Описательная статистика по испр 500</t>
  </si>
  <si>
    <t>Карман</t>
  </si>
  <si>
    <t>Еще</t>
  </si>
  <si>
    <t>Частота</t>
  </si>
  <si>
    <t>Стандартизированные 500 испр</t>
  </si>
  <si>
    <t>п</t>
  </si>
  <si>
    <t>Нормализованные 500 испр</t>
  </si>
  <si>
    <t>X</t>
  </si>
  <si>
    <t>Y</t>
  </si>
  <si>
    <t>Для X</t>
  </si>
  <si>
    <t>Для Y</t>
  </si>
  <si>
    <t>Нормальное распределение Х</t>
  </si>
  <si>
    <t>Среднее:</t>
  </si>
  <si>
    <t>Дисперсия:</t>
  </si>
  <si>
    <t>Медиана:</t>
  </si>
  <si>
    <t>Вероятность &gt; 60:</t>
  </si>
  <si>
    <t>Мода:</t>
  </si>
  <si>
    <t>Коэффицент линейной уравнения регресии:</t>
  </si>
  <si>
    <t>Уравнение имеет вид: Y = a*X + b.</t>
  </si>
  <si>
    <t xml:space="preserve">Предсказанное значенее </t>
  </si>
  <si>
    <t>Классификация</t>
  </si>
  <si>
    <t>a=</t>
  </si>
  <si>
    <t>b=</t>
  </si>
  <si>
    <t>Порог=</t>
  </si>
  <si>
    <t>Корреляция X-Y: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</si>
</sst>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Fill="1" applyBorder="1" applyAlignme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 по 1000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1'!$O$3:$O$34</c:f>
              <c:numCache>
                <c:formatCode>General</c:formatCode>
                <c:ptCount val="32"/>
                <c:pt idx="0">
                  <c:v>-30.417056202888489</c:v>
                </c:pt>
                <c:pt idx="1">
                  <c:v>-28.072226301316292</c:v>
                </c:pt>
                <c:pt idx="2">
                  <c:v>-25.727396399744094</c:v>
                </c:pt>
                <c:pt idx="3">
                  <c:v>-23.382566498171897</c:v>
                </c:pt>
                <c:pt idx="4">
                  <c:v>-21.0377365965997</c:v>
                </c:pt>
                <c:pt idx="5">
                  <c:v>-18.692906695027503</c:v>
                </c:pt>
                <c:pt idx="6">
                  <c:v>-16.348076793455309</c:v>
                </c:pt>
                <c:pt idx="7">
                  <c:v>-14.003246891883112</c:v>
                </c:pt>
                <c:pt idx="8">
                  <c:v>-11.658416990310915</c:v>
                </c:pt>
                <c:pt idx="9">
                  <c:v>-9.3135870887387178</c:v>
                </c:pt>
                <c:pt idx="10">
                  <c:v>-6.9687571871665206</c:v>
                </c:pt>
                <c:pt idx="11">
                  <c:v>-4.6239272855943234</c:v>
                </c:pt>
                <c:pt idx="12">
                  <c:v>-2.2790973840221298</c:v>
                </c:pt>
                <c:pt idx="13">
                  <c:v>6.5732517550067371E-2</c:v>
                </c:pt>
                <c:pt idx="14">
                  <c:v>2.4105624191222645</c:v>
                </c:pt>
                <c:pt idx="15">
                  <c:v>4.7553923206944617</c:v>
                </c:pt>
                <c:pt idx="16">
                  <c:v>7.1002222222666589</c:v>
                </c:pt>
                <c:pt idx="17">
                  <c:v>9.4450521238388561</c:v>
                </c:pt>
                <c:pt idx="18">
                  <c:v>11.789882025411053</c:v>
                </c:pt>
                <c:pt idx="19">
                  <c:v>14.13471192698325</c:v>
                </c:pt>
                <c:pt idx="20">
                  <c:v>16.479541828555448</c:v>
                </c:pt>
                <c:pt idx="21">
                  <c:v>18.824371730127645</c:v>
                </c:pt>
                <c:pt idx="22">
                  <c:v>21.169201631699842</c:v>
                </c:pt>
                <c:pt idx="23">
                  <c:v>23.514031533272039</c:v>
                </c:pt>
                <c:pt idx="24">
                  <c:v>25.858861434844229</c:v>
                </c:pt>
                <c:pt idx="25">
                  <c:v>28.203691336416426</c:v>
                </c:pt>
                <c:pt idx="26">
                  <c:v>30.548521237988624</c:v>
                </c:pt>
                <c:pt idx="27">
                  <c:v>32.893351139560821</c:v>
                </c:pt>
                <c:pt idx="28">
                  <c:v>35.238181041133018</c:v>
                </c:pt>
                <c:pt idx="29">
                  <c:v>37.583010942705215</c:v>
                </c:pt>
                <c:pt idx="30">
                  <c:v>39.927840844277412</c:v>
                </c:pt>
              </c:numCache>
            </c:numRef>
          </c:cat>
          <c:val>
            <c:numRef>
              <c:f>'Задание 1'!$P$3:$P$34</c:f>
              <c:numCache>
                <c:formatCode>General</c:formatCode>
                <c:ptCount val="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7</c:v>
                </c:pt>
                <c:pt idx="7">
                  <c:v>3</c:v>
                </c:pt>
                <c:pt idx="8">
                  <c:v>12</c:v>
                </c:pt>
                <c:pt idx="9">
                  <c:v>12</c:v>
                </c:pt>
                <c:pt idx="10">
                  <c:v>21</c:v>
                </c:pt>
                <c:pt idx="11">
                  <c:v>47</c:v>
                </c:pt>
                <c:pt idx="12">
                  <c:v>54</c:v>
                </c:pt>
                <c:pt idx="13">
                  <c:v>68</c:v>
                </c:pt>
                <c:pt idx="14">
                  <c:v>96</c:v>
                </c:pt>
                <c:pt idx="15">
                  <c:v>88</c:v>
                </c:pt>
                <c:pt idx="16">
                  <c:v>91</c:v>
                </c:pt>
                <c:pt idx="17">
                  <c:v>101</c:v>
                </c:pt>
                <c:pt idx="18">
                  <c:v>93</c:v>
                </c:pt>
                <c:pt idx="19">
                  <c:v>71</c:v>
                </c:pt>
                <c:pt idx="20">
                  <c:v>53</c:v>
                </c:pt>
                <c:pt idx="21">
                  <c:v>46</c:v>
                </c:pt>
                <c:pt idx="22">
                  <c:v>51</c:v>
                </c:pt>
                <c:pt idx="23">
                  <c:v>32</c:v>
                </c:pt>
                <c:pt idx="24">
                  <c:v>14</c:v>
                </c:pt>
                <c:pt idx="25">
                  <c:v>15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E-40B5-8EB0-E61443EE2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313823"/>
        <c:axId val="960325823"/>
      </c:barChart>
      <c:catAx>
        <c:axId val="960313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0325823"/>
        <c:crosses val="autoZero"/>
        <c:auto val="1"/>
        <c:lblAlgn val="ctr"/>
        <c:lblOffset val="100"/>
        <c:noMultiLvlLbl val="0"/>
      </c:catAx>
      <c:valAx>
        <c:axId val="960325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031382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 по</a:t>
            </a:r>
            <a:r>
              <a:rPr lang="ru-RU" baseline="0"/>
              <a:t> испр 500</a:t>
            </a:r>
            <a:endParaRPr lang="ru-RU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1'!$O$38:$O$60</c:f>
              <c:numCache>
                <c:formatCode>General</c:formatCode>
                <c:ptCount val="23"/>
                <c:pt idx="0">
                  <c:v>1.1443242139648646E-2</c:v>
                </c:pt>
                <c:pt idx="1">
                  <c:v>1.9324081286719197</c:v>
                </c:pt>
                <c:pt idx="2">
                  <c:v>3.8533730152041907</c:v>
                </c:pt>
                <c:pt idx="3">
                  <c:v>5.7743379017364616</c:v>
                </c:pt>
                <c:pt idx="4">
                  <c:v>7.6953027882687328</c:v>
                </c:pt>
                <c:pt idx="5">
                  <c:v>9.6162676748010032</c:v>
                </c:pt>
                <c:pt idx="6">
                  <c:v>11.537232561333274</c:v>
                </c:pt>
                <c:pt idx="7">
                  <c:v>13.458197447865546</c:v>
                </c:pt>
                <c:pt idx="8">
                  <c:v>15.379162334397817</c:v>
                </c:pt>
                <c:pt idx="9">
                  <c:v>17.300127220930086</c:v>
                </c:pt>
                <c:pt idx="10">
                  <c:v>19.221092107462358</c:v>
                </c:pt>
                <c:pt idx="11">
                  <c:v>21.142056993994629</c:v>
                </c:pt>
                <c:pt idx="12">
                  <c:v>23.0630218805269</c:v>
                </c:pt>
                <c:pt idx="13">
                  <c:v>24.983986767059172</c:v>
                </c:pt>
                <c:pt idx="14">
                  <c:v>26.904951653591443</c:v>
                </c:pt>
                <c:pt idx="15">
                  <c:v>28.825916540123714</c:v>
                </c:pt>
                <c:pt idx="16">
                  <c:v>30.746881426655985</c:v>
                </c:pt>
                <c:pt idx="17">
                  <c:v>32.667846313188257</c:v>
                </c:pt>
                <c:pt idx="18">
                  <c:v>34.588811199720524</c:v>
                </c:pt>
                <c:pt idx="19">
                  <c:v>36.509776086252799</c:v>
                </c:pt>
                <c:pt idx="20">
                  <c:v>38.430740972785067</c:v>
                </c:pt>
                <c:pt idx="21">
                  <c:v>40.351705859317342</c:v>
                </c:pt>
              </c:numCache>
            </c:numRef>
          </c:cat>
          <c:val>
            <c:numRef>
              <c:f>'Задание 1'!$P$38:$P$60</c:f>
              <c:numCache>
                <c:formatCode>General</c:formatCode>
                <c:ptCount val="23"/>
                <c:pt idx="0">
                  <c:v>1</c:v>
                </c:pt>
                <c:pt idx="1">
                  <c:v>65</c:v>
                </c:pt>
                <c:pt idx="2">
                  <c:v>54</c:v>
                </c:pt>
                <c:pt idx="3">
                  <c:v>70</c:v>
                </c:pt>
                <c:pt idx="4">
                  <c:v>48</c:v>
                </c:pt>
                <c:pt idx="5">
                  <c:v>51</c:v>
                </c:pt>
                <c:pt idx="6">
                  <c:v>54</c:v>
                </c:pt>
                <c:pt idx="7">
                  <c:v>35</c:v>
                </c:pt>
                <c:pt idx="8">
                  <c:v>19</c:v>
                </c:pt>
                <c:pt idx="9">
                  <c:v>23</c:v>
                </c:pt>
                <c:pt idx="10">
                  <c:v>17</c:v>
                </c:pt>
                <c:pt idx="11">
                  <c:v>20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C-43A2-9C85-793F0F3BD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0366559"/>
        <c:axId val="2020358879"/>
      </c:barChart>
      <c:catAx>
        <c:axId val="2020366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0358879"/>
        <c:crosses val="autoZero"/>
        <c:auto val="1"/>
        <c:lblAlgn val="ctr"/>
        <c:lblOffset val="100"/>
        <c:noMultiLvlLbl val="0"/>
      </c:catAx>
      <c:valAx>
        <c:axId val="2020358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036655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'Задание 1'!$AI$26:$AI$48</c:f>
              <c:strCache>
                <c:ptCount val="23"/>
                <c:pt idx="0">
                  <c:v>-1,318381685</c:v>
                </c:pt>
                <c:pt idx="1">
                  <c:v>-1,054917474</c:v>
                </c:pt>
                <c:pt idx="2">
                  <c:v>-0,791453263</c:v>
                </c:pt>
                <c:pt idx="3">
                  <c:v>-0,527989053</c:v>
                </c:pt>
                <c:pt idx="4">
                  <c:v>-0,264524842</c:v>
                </c:pt>
                <c:pt idx="5">
                  <c:v>-0,001060631</c:v>
                </c:pt>
                <c:pt idx="6">
                  <c:v>0,26240358</c:v>
                </c:pt>
                <c:pt idx="7">
                  <c:v>0,525867791</c:v>
                </c:pt>
                <c:pt idx="8">
                  <c:v>0,789332002</c:v>
                </c:pt>
                <c:pt idx="9">
                  <c:v>1,052796213</c:v>
                </c:pt>
                <c:pt idx="10">
                  <c:v>1,316260424</c:v>
                </c:pt>
                <c:pt idx="11">
                  <c:v>1,579724635</c:v>
                </c:pt>
                <c:pt idx="12">
                  <c:v>1,843188845</c:v>
                </c:pt>
                <c:pt idx="13">
                  <c:v>2,106653056</c:v>
                </c:pt>
                <c:pt idx="14">
                  <c:v>2,370117267</c:v>
                </c:pt>
                <c:pt idx="15">
                  <c:v>2,633581478</c:v>
                </c:pt>
                <c:pt idx="16">
                  <c:v>2,897045689</c:v>
                </c:pt>
                <c:pt idx="17">
                  <c:v>3,1605099</c:v>
                </c:pt>
                <c:pt idx="18">
                  <c:v>3,423974111</c:v>
                </c:pt>
                <c:pt idx="19">
                  <c:v>3,687438322</c:v>
                </c:pt>
                <c:pt idx="20">
                  <c:v>3,950902533</c:v>
                </c:pt>
                <c:pt idx="21">
                  <c:v>4,214366743</c:v>
                </c:pt>
                <c:pt idx="22">
                  <c:v>Еще</c:v>
                </c:pt>
              </c:strCache>
            </c:strRef>
          </c:cat>
          <c:val>
            <c:numRef>
              <c:f>'Задание 1'!$AJ$26:$AJ$48</c:f>
              <c:numCache>
                <c:formatCode>General</c:formatCode>
                <c:ptCount val="23"/>
                <c:pt idx="0">
                  <c:v>1</c:v>
                </c:pt>
                <c:pt idx="1">
                  <c:v>65</c:v>
                </c:pt>
                <c:pt idx="2">
                  <c:v>54</c:v>
                </c:pt>
                <c:pt idx="3">
                  <c:v>70</c:v>
                </c:pt>
                <c:pt idx="4">
                  <c:v>48</c:v>
                </c:pt>
                <c:pt idx="5">
                  <c:v>51</c:v>
                </c:pt>
                <c:pt idx="6">
                  <c:v>54</c:v>
                </c:pt>
                <c:pt idx="7">
                  <c:v>35</c:v>
                </c:pt>
                <c:pt idx="8">
                  <c:v>19</c:v>
                </c:pt>
                <c:pt idx="9">
                  <c:v>23</c:v>
                </c:pt>
                <c:pt idx="10">
                  <c:v>17</c:v>
                </c:pt>
                <c:pt idx="11">
                  <c:v>20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F5-4F44-8EF6-9A3176E28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774063"/>
        <c:axId val="1053775983"/>
      </c:barChart>
      <c:catAx>
        <c:axId val="1053774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3775983"/>
        <c:crosses val="autoZero"/>
        <c:auto val="1"/>
        <c:lblAlgn val="ctr"/>
        <c:lblOffset val="100"/>
        <c:noMultiLvlLbl val="0"/>
      </c:catAx>
      <c:valAx>
        <c:axId val="1053775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377406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1'!$AZ$4:$AZ$26</c:f>
              <c:numCache>
                <c:formatCode>General</c:formatCode>
                <c:ptCount val="23"/>
                <c:pt idx="0">
                  <c:v>0</c:v>
                </c:pt>
                <c:pt idx="1">
                  <c:v>4.5454545454545456E-2</c:v>
                </c:pt>
                <c:pt idx="2">
                  <c:v>9.0909090909090912E-2</c:v>
                </c:pt>
                <c:pt idx="3">
                  <c:v>0.13636363636363635</c:v>
                </c:pt>
                <c:pt idx="4">
                  <c:v>0.18181818181818182</c:v>
                </c:pt>
                <c:pt idx="5">
                  <c:v>0.22727272727272729</c:v>
                </c:pt>
                <c:pt idx="6">
                  <c:v>0.27272727272727271</c:v>
                </c:pt>
                <c:pt idx="7">
                  <c:v>0.31818181818181818</c:v>
                </c:pt>
                <c:pt idx="8">
                  <c:v>0.36363636363636365</c:v>
                </c:pt>
                <c:pt idx="9">
                  <c:v>0.40909090909090912</c:v>
                </c:pt>
                <c:pt idx="10">
                  <c:v>0.45454545454545459</c:v>
                </c:pt>
                <c:pt idx="11">
                  <c:v>0.5</c:v>
                </c:pt>
                <c:pt idx="12">
                  <c:v>0.54545454545454541</c:v>
                </c:pt>
                <c:pt idx="13">
                  <c:v>0.59090909090909094</c:v>
                </c:pt>
                <c:pt idx="14">
                  <c:v>0.63636363636363635</c:v>
                </c:pt>
                <c:pt idx="15">
                  <c:v>0.68181818181818188</c:v>
                </c:pt>
                <c:pt idx="16">
                  <c:v>0.72727272727272729</c:v>
                </c:pt>
                <c:pt idx="17">
                  <c:v>0.77272727272727271</c:v>
                </c:pt>
                <c:pt idx="18">
                  <c:v>0.81818181818181823</c:v>
                </c:pt>
                <c:pt idx="19">
                  <c:v>0.86363636363636365</c:v>
                </c:pt>
                <c:pt idx="20">
                  <c:v>0.90909090909090917</c:v>
                </c:pt>
                <c:pt idx="21">
                  <c:v>0.95454545454545459</c:v>
                </c:pt>
              </c:numCache>
            </c:numRef>
          </c:cat>
          <c:val>
            <c:numRef>
              <c:f>'Задание 1'!$BA$4:$BA$26</c:f>
              <c:numCache>
                <c:formatCode>General</c:formatCode>
                <c:ptCount val="23"/>
                <c:pt idx="0">
                  <c:v>1</c:v>
                </c:pt>
                <c:pt idx="1">
                  <c:v>65</c:v>
                </c:pt>
                <c:pt idx="2">
                  <c:v>54</c:v>
                </c:pt>
                <c:pt idx="3">
                  <c:v>70</c:v>
                </c:pt>
                <c:pt idx="4">
                  <c:v>48</c:v>
                </c:pt>
                <c:pt idx="5">
                  <c:v>51</c:v>
                </c:pt>
                <c:pt idx="6">
                  <c:v>54</c:v>
                </c:pt>
                <c:pt idx="7">
                  <c:v>35</c:v>
                </c:pt>
                <c:pt idx="8">
                  <c:v>19</c:v>
                </c:pt>
                <c:pt idx="9">
                  <c:v>23</c:v>
                </c:pt>
                <c:pt idx="10">
                  <c:v>17</c:v>
                </c:pt>
                <c:pt idx="11">
                  <c:v>20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5-479F-B83B-F7553B150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779343"/>
        <c:axId val="1053777423"/>
      </c:barChart>
      <c:catAx>
        <c:axId val="1053779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3777423"/>
        <c:crosses val="autoZero"/>
        <c:auto val="1"/>
        <c:lblAlgn val="ctr"/>
        <c:lblOffset val="100"/>
        <c:noMultiLvlLbl val="0"/>
      </c:catAx>
      <c:valAx>
        <c:axId val="1053777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377934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Нормальное</a:t>
            </a:r>
            <a:r>
              <a:rPr lang="ru-RU" baseline="0"/>
              <a:t> распределение для </a:t>
            </a:r>
            <a:r>
              <a:rPr lang="en-US" baseline="0"/>
              <a:t>X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2'!$H$2:$H$21</c:f>
              <c:numCache>
                <c:formatCode>General</c:formatCode>
                <c:ptCount val="20"/>
                <c:pt idx="0">
                  <c:v>0.26052911964344094</c:v>
                </c:pt>
                <c:pt idx="1">
                  <c:v>0.7479036683721495</c:v>
                </c:pt>
                <c:pt idx="2">
                  <c:v>0.18309329220754714</c:v>
                </c:pt>
                <c:pt idx="3">
                  <c:v>0.35205046066158219</c:v>
                </c:pt>
                <c:pt idx="4">
                  <c:v>0.5572728515956753</c:v>
                </c:pt>
                <c:pt idx="5">
                  <c:v>0.12189538425686426</c:v>
                </c:pt>
                <c:pt idx="6">
                  <c:v>7.6719568903845278E-2</c:v>
                </c:pt>
                <c:pt idx="7">
                  <c:v>0.35205046066158219</c:v>
                </c:pt>
                <c:pt idx="8">
                  <c:v>0.88332162244271784</c:v>
                </c:pt>
                <c:pt idx="9">
                  <c:v>0.18309329220754714</c:v>
                </c:pt>
                <c:pt idx="10">
                  <c:v>0.5572728515956753</c:v>
                </c:pt>
                <c:pt idx="11">
                  <c:v>0.97600912012813501</c:v>
                </c:pt>
                <c:pt idx="12">
                  <c:v>0.7479036683721495</c:v>
                </c:pt>
                <c:pt idx="13">
                  <c:v>0.12189538425686426</c:v>
                </c:pt>
                <c:pt idx="14">
                  <c:v>7.6719568903845278E-2</c:v>
                </c:pt>
                <c:pt idx="15">
                  <c:v>0.45308690767740317</c:v>
                </c:pt>
                <c:pt idx="16">
                  <c:v>0.7479036683721495</c:v>
                </c:pt>
                <c:pt idx="17">
                  <c:v>0.82377095162645231</c:v>
                </c:pt>
                <c:pt idx="18">
                  <c:v>0.82377095162645231</c:v>
                </c:pt>
                <c:pt idx="19">
                  <c:v>0.88332162244271784</c:v>
                </c:pt>
              </c:numCache>
            </c:numRef>
          </c:cat>
          <c:val>
            <c:numRef>
              <c:f>'Задание 2'!$A$2:$A$21</c:f>
              <c:numCache>
                <c:formatCode>General</c:formatCode>
                <c:ptCount val="20"/>
                <c:pt idx="0">
                  <c:v>69</c:v>
                </c:pt>
                <c:pt idx="1">
                  <c:v>74</c:v>
                </c:pt>
                <c:pt idx="2">
                  <c:v>68</c:v>
                </c:pt>
                <c:pt idx="3">
                  <c:v>70</c:v>
                </c:pt>
                <c:pt idx="4">
                  <c:v>72</c:v>
                </c:pt>
                <c:pt idx="5">
                  <c:v>67</c:v>
                </c:pt>
                <c:pt idx="6">
                  <c:v>66</c:v>
                </c:pt>
                <c:pt idx="7">
                  <c:v>70</c:v>
                </c:pt>
                <c:pt idx="8">
                  <c:v>76</c:v>
                </c:pt>
                <c:pt idx="9">
                  <c:v>68</c:v>
                </c:pt>
                <c:pt idx="10">
                  <c:v>72</c:v>
                </c:pt>
                <c:pt idx="11">
                  <c:v>79</c:v>
                </c:pt>
                <c:pt idx="12">
                  <c:v>74</c:v>
                </c:pt>
                <c:pt idx="13">
                  <c:v>67</c:v>
                </c:pt>
                <c:pt idx="14">
                  <c:v>66</c:v>
                </c:pt>
                <c:pt idx="15">
                  <c:v>71</c:v>
                </c:pt>
                <c:pt idx="16">
                  <c:v>74</c:v>
                </c:pt>
                <c:pt idx="17">
                  <c:v>75</c:v>
                </c:pt>
                <c:pt idx="18">
                  <c:v>75</c:v>
                </c:pt>
                <c:pt idx="1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A-4E7B-AFB6-86524B32A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440527"/>
        <c:axId val="1341438127"/>
      </c:lineChart>
      <c:catAx>
        <c:axId val="134144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1438127"/>
        <c:crosses val="autoZero"/>
        <c:auto val="1"/>
        <c:lblAlgn val="ctr"/>
        <c:lblOffset val="100"/>
        <c:noMultiLvlLbl val="0"/>
      </c:catAx>
      <c:valAx>
        <c:axId val="134143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144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</a:t>
            </a:r>
            <a:r>
              <a:rPr lang="en-US" baseline="0"/>
              <a:t>X </a:t>
            </a:r>
            <a:r>
              <a:rPr lang="ru-RU" baseline="0"/>
              <a:t>и </a:t>
            </a:r>
            <a:r>
              <a:rPr lang="en-US" baseline="0"/>
              <a:t>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2'!$A$1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'Задание 2'!$A$2:$A$21</c:f>
              <c:numCache>
                <c:formatCode>General</c:formatCode>
                <c:ptCount val="20"/>
                <c:pt idx="0">
                  <c:v>69</c:v>
                </c:pt>
                <c:pt idx="1">
                  <c:v>74</c:v>
                </c:pt>
                <c:pt idx="2">
                  <c:v>68</c:v>
                </c:pt>
                <c:pt idx="3">
                  <c:v>70</c:v>
                </c:pt>
                <c:pt idx="4">
                  <c:v>72</c:v>
                </c:pt>
                <c:pt idx="5">
                  <c:v>67</c:v>
                </c:pt>
                <c:pt idx="6">
                  <c:v>66</c:v>
                </c:pt>
                <c:pt idx="7">
                  <c:v>70</c:v>
                </c:pt>
                <c:pt idx="8">
                  <c:v>76</c:v>
                </c:pt>
                <c:pt idx="9">
                  <c:v>68</c:v>
                </c:pt>
                <c:pt idx="10">
                  <c:v>72</c:v>
                </c:pt>
                <c:pt idx="11">
                  <c:v>79</c:v>
                </c:pt>
                <c:pt idx="12">
                  <c:v>74</c:v>
                </c:pt>
                <c:pt idx="13">
                  <c:v>67</c:v>
                </c:pt>
                <c:pt idx="14">
                  <c:v>66</c:v>
                </c:pt>
                <c:pt idx="15">
                  <c:v>71</c:v>
                </c:pt>
                <c:pt idx="16">
                  <c:v>74</c:v>
                </c:pt>
                <c:pt idx="17">
                  <c:v>75</c:v>
                </c:pt>
                <c:pt idx="18">
                  <c:v>75</c:v>
                </c:pt>
                <c:pt idx="1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8-4327-B797-31B2DB1D2E0D}"/>
            </c:ext>
          </c:extLst>
        </c:ser>
        <c:ser>
          <c:idx val="1"/>
          <c:order val="1"/>
          <c:tx>
            <c:strRef>
              <c:f>'Задание 2'!$B$1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'Задание 2'!$B$2:$B$21</c:f>
              <c:numCache>
                <c:formatCode>General</c:formatCode>
                <c:ptCount val="20"/>
                <c:pt idx="0">
                  <c:v>153</c:v>
                </c:pt>
                <c:pt idx="1">
                  <c:v>175</c:v>
                </c:pt>
                <c:pt idx="2">
                  <c:v>155</c:v>
                </c:pt>
                <c:pt idx="3">
                  <c:v>135</c:v>
                </c:pt>
                <c:pt idx="4">
                  <c:v>172</c:v>
                </c:pt>
                <c:pt idx="5">
                  <c:v>150</c:v>
                </c:pt>
                <c:pt idx="6">
                  <c:v>115</c:v>
                </c:pt>
                <c:pt idx="7">
                  <c:v>137</c:v>
                </c:pt>
                <c:pt idx="8">
                  <c:v>200</c:v>
                </c:pt>
                <c:pt idx="9">
                  <c:v>130</c:v>
                </c:pt>
                <c:pt idx="10">
                  <c:v>140</c:v>
                </c:pt>
                <c:pt idx="11">
                  <c:v>265</c:v>
                </c:pt>
                <c:pt idx="12">
                  <c:v>185</c:v>
                </c:pt>
                <c:pt idx="13">
                  <c:v>112</c:v>
                </c:pt>
                <c:pt idx="14">
                  <c:v>140</c:v>
                </c:pt>
                <c:pt idx="15">
                  <c:v>150</c:v>
                </c:pt>
                <c:pt idx="16">
                  <c:v>165</c:v>
                </c:pt>
                <c:pt idx="17">
                  <c:v>185</c:v>
                </c:pt>
                <c:pt idx="18">
                  <c:v>210</c:v>
                </c:pt>
                <c:pt idx="19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8-4327-B797-31B2DB1D2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587231"/>
        <c:axId val="1586586271"/>
      </c:barChart>
      <c:catAx>
        <c:axId val="158658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6586271"/>
        <c:crosses val="autoZero"/>
        <c:auto val="1"/>
        <c:lblAlgn val="ctr"/>
        <c:lblOffset val="100"/>
        <c:noMultiLvlLbl val="0"/>
      </c:catAx>
      <c:valAx>
        <c:axId val="158658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65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рассеяния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Х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'Задание 2'!$A$2:$A$21</c:f>
              <c:numCache>
                <c:formatCode>General</c:formatCode>
                <c:ptCount val="20"/>
                <c:pt idx="0">
                  <c:v>69</c:v>
                </c:pt>
                <c:pt idx="1">
                  <c:v>74</c:v>
                </c:pt>
                <c:pt idx="2">
                  <c:v>68</c:v>
                </c:pt>
                <c:pt idx="3">
                  <c:v>70</c:v>
                </c:pt>
                <c:pt idx="4">
                  <c:v>72</c:v>
                </c:pt>
                <c:pt idx="5">
                  <c:v>67</c:v>
                </c:pt>
                <c:pt idx="6">
                  <c:v>66</c:v>
                </c:pt>
                <c:pt idx="7">
                  <c:v>70</c:v>
                </c:pt>
                <c:pt idx="8">
                  <c:v>76</c:v>
                </c:pt>
                <c:pt idx="9">
                  <c:v>68</c:v>
                </c:pt>
                <c:pt idx="10">
                  <c:v>72</c:v>
                </c:pt>
                <c:pt idx="11">
                  <c:v>79</c:v>
                </c:pt>
                <c:pt idx="12">
                  <c:v>74</c:v>
                </c:pt>
                <c:pt idx="13">
                  <c:v>67</c:v>
                </c:pt>
                <c:pt idx="14">
                  <c:v>66</c:v>
                </c:pt>
                <c:pt idx="15">
                  <c:v>71</c:v>
                </c:pt>
                <c:pt idx="16">
                  <c:v>74</c:v>
                </c:pt>
                <c:pt idx="17">
                  <c:v>75</c:v>
                </c:pt>
                <c:pt idx="18">
                  <c:v>75</c:v>
                </c:pt>
                <c:pt idx="19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73-4D8A-8993-5352DC4EEC11}"/>
            </c:ext>
          </c:extLst>
        </c:ser>
        <c:ser>
          <c:idx val="1"/>
          <c:order val="1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'Задание 2'!$B$2:$B$21</c:f>
              <c:numCache>
                <c:formatCode>General</c:formatCode>
                <c:ptCount val="20"/>
                <c:pt idx="0">
                  <c:v>153</c:v>
                </c:pt>
                <c:pt idx="1">
                  <c:v>175</c:v>
                </c:pt>
                <c:pt idx="2">
                  <c:v>155</c:v>
                </c:pt>
                <c:pt idx="3">
                  <c:v>135</c:v>
                </c:pt>
                <c:pt idx="4">
                  <c:v>172</c:v>
                </c:pt>
                <c:pt idx="5">
                  <c:v>150</c:v>
                </c:pt>
                <c:pt idx="6">
                  <c:v>115</c:v>
                </c:pt>
                <c:pt idx="7">
                  <c:v>137</c:v>
                </c:pt>
                <c:pt idx="8">
                  <c:v>200</c:v>
                </c:pt>
                <c:pt idx="9">
                  <c:v>130</c:v>
                </c:pt>
                <c:pt idx="10">
                  <c:v>140</c:v>
                </c:pt>
                <c:pt idx="11">
                  <c:v>265</c:v>
                </c:pt>
                <c:pt idx="12">
                  <c:v>185</c:v>
                </c:pt>
                <c:pt idx="13">
                  <c:v>112</c:v>
                </c:pt>
                <c:pt idx="14">
                  <c:v>140</c:v>
                </c:pt>
                <c:pt idx="15">
                  <c:v>150</c:v>
                </c:pt>
                <c:pt idx="16">
                  <c:v>165</c:v>
                </c:pt>
                <c:pt idx="17">
                  <c:v>185</c:v>
                </c:pt>
                <c:pt idx="18">
                  <c:v>210</c:v>
                </c:pt>
                <c:pt idx="19">
                  <c:v>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73-4D8A-8993-5352DC4EE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605535"/>
        <c:axId val="1838604575"/>
      </c:scatterChart>
      <c:valAx>
        <c:axId val="1838605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8604575"/>
        <c:crosses val="autoZero"/>
        <c:crossBetween val="midCat"/>
      </c:valAx>
      <c:valAx>
        <c:axId val="183860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8605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219075</xdr:colOff>
      <xdr:row>0</xdr:row>
      <xdr:rowOff>190500</xdr:rowOff>
    </xdr:from>
    <xdr:to>
      <xdr:col>28</xdr:col>
      <xdr:colOff>333901</xdr:colOff>
      <xdr:row>18</xdr:row>
      <xdr:rowOff>170248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35BB48-B1AE-1A0F-4A63-15FF89807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21075" y="190500"/>
          <a:ext cx="3772426" cy="3427798"/>
        </a:xfrm>
        <a:prstGeom prst="rect">
          <a:avLst/>
        </a:prstGeom>
      </xdr:spPr>
    </xdr:pic>
    <xdr:clientData/>
  </xdr:twoCellAnchor>
  <xdr:twoCellAnchor editAs="oneCell">
    <xdr:from>
      <xdr:col>22</xdr:col>
      <xdr:colOff>247650</xdr:colOff>
      <xdr:row>18</xdr:row>
      <xdr:rowOff>171450</xdr:rowOff>
    </xdr:from>
    <xdr:to>
      <xdr:col>28</xdr:col>
      <xdr:colOff>333897</xdr:colOff>
      <xdr:row>34</xdr:row>
      <xdr:rowOff>138261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3D792-9BAD-079A-8286-63171FD3E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49650" y="3609975"/>
          <a:ext cx="3743847" cy="3067478"/>
        </a:xfrm>
        <a:prstGeom prst="rect">
          <a:avLst/>
        </a:prstGeom>
      </xdr:spPr>
    </xdr:pic>
    <xdr:clientData/>
  </xdr:twoCellAnchor>
  <xdr:twoCellAnchor>
    <xdr:from>
      <xdr:col>16</xdr:col>
      <xdr:colOff>95250</xdr:colOff>
      <xdr:row>1</xdr:row>
      <xdr:rowOff>19050</xdr:rowOff>
    </xdr:from>
    <xdr:to>
      <xdr:col>22</xdr:col>
      <xdr:colOff>95250</xdr:colOff>
      <xdr:row>11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85874FD-F0B7-3905-F09D-ABDBE1D37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191060</xdr:colOff>
      <xdr:row>36</xdr:row>
      <xdr:rowOff>19610</xdr:rowOff>
    </xdr:from>
    <xdr:to>
      <xdr:col>22</xdr:col>
      <xdr:colOff>206187</xdr:colOff>
      <xdr:row>46</xdr:row>
      <xdr:rowOff>19610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9662597-8E52-7223-3E0B-71237A852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151840</xdr:colOff>
      <xdr:row>23</xdr:row>
      <xdr:rowOff>176492</xdr:rowOff>
    </xdr:from>
    <xdr:to>
      <xdr:col>42</xdr:col>
      <xdr:colOff>151840</xdr:colOff>
      <xdr:row>33</xdr:row>
      <xdr:rowOff>176492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19AFE69-CA95-B988-AC78-6B8C25D21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381001</xdr:colOff>
      <xdr:row>35</xdr:row>
      <xdr:rowOff>51398</xdr:rowOff>
    </xdr:from>
    <xdr:to>
      <xdr:col>28</xdr:col>
      <xdr:colOff>437030</xdr:colOff>
      <xdr:row>44</xdr:row>
      <xdr:rowOff>109596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085C5C0-8227-08EB-8512-8C8E8D995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93354" y="6763722"/>
          <a:ext cx="3686735" cy="1783904"/>
        </a:xfrm>
        <a:prstGeom prst="rect">
          <a:avLst/>
        </a:prstGeom>
      </xdr:spPr>
    </xdr:pic>
    <xdr:clientData/>
  </xdr:twoCellAnchor>
  <xdr:twoCellAnchor>
    <xdr:from>
      <xdr:col>53</xdr:col>
      <xdr:colOff>187749</xdr:colOff>
      <xdr:row>2</xdr:row>
      <xdr:rowOff>66980</xdr:rowOff>
    </xdr:from>
    <xdr:to>
      <xdr:col>59</xdr:col>
      <xdr:colOff>199514</xdr:colOff>
      <xdr:row>12</xdr:row>
      <xdr:rowOff>96523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1857D14-8A0F-A089-F753-E020339C6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95249</xdr:colOff>
      <xdr:row>0</xdr:row>
      <xdr:rowOff>100012</xdr:rowOff>
    </xdr:from>
    <xdr:to>
      <xdr:col>16</xdr:col>
      <xdr:colOff>495300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7FAEA4-CEAF-48D1-B704-74C4E1476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104774</xdr:colOff>
      <xdr:row>11</xdr:row>
      <xdr:rowOff>23812</xdr:rowOff>
    </xdr:from>
    <xdr:to>
      <xdr:col>14</xdr:col>
      <xdr:colOff>485774</xdr:colOff>
      <xdr:row>25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F162DA0-C2D5-4F55-BE9B-33B910D5D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285750</xdr:colOff>
      <xdr:row>5</xdr:row>
      <xdr:rowOff>100012</xdr:rowOff>
    </xdr:from>
    <xdr:to>
      <xdr:col>7</xdr:col>
      <xdr:colOff>600075</xdr:colOff>
      <xdr:row>19</xdr:row>
      <xdr:rowOff>176212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4D67EB0-7CA0-42AA-81D2-91605EF0D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sk/Downloads/Telegram%20Desktop/Pz_&#1040;&#1085;&#1080;&#1097;&#1077;&#1085;&#1082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дание 1"/>
      <sheetName val="Задание 2"/>
    </sheetNames>
    <sheetDataSet>
      <sheetData sheetId="0" refreshError="1"/>
      <sheetData sheetId="1">
        <row r="1">
          <cell r="A1" t="str">
            <v>X</v>
          </cell>
          <cell r="B1" t="str">
            <v>Y</v>
          </cell>
        </row>
        <row r="2">
          <cell r="A2">
            <v>69</v>
          </cell>
          <cell r="B2">
            <v>153</v>
          </cell>
          <cell r="H2">
            <v>0.26052911964344094</v>
          </cell>
        </row>
        <row r="3">
          <cell r="A3">
            <v>74</v>
          </cell>
          <cell r="B3">
            <v>175</v>
          </cell>
          <cell r="H3">
            <v>0.7479036683721495</v>
          </cell>
        </row>
        <row r="4">
          <cell r="A4">
            <v>68</v>
          </cell>
          <cell r="B4">
            <v>155</v>
          </cell>
          <cell r="H4">
            <v>0.18309329220754714</v>
          </cell>
        </row>
        <row r="5">
          <cell r="A5">
            <v>70</v>
          </cell>
          <cell r="B5">
            <v>135</v>
          </cell>
          <cell r="H5">
            <v>0.35205046066158219</v>
          </cell>
        </row>
        <row r="6">
          <cell r="A6">
            <v>72</v>
          </cell>
          <cell r="B6">
            <v>172</v>
          </cell>
          <cell r="H6">
            <v>0.5572728515956753</v>
          </cell>
        </row>
        <row r="7">
          <cell r="A7">
            <v>67</v>
          </cell>
          <cell r="B7">
            <v>150</v>
          </cell>
          <cell r="H7">
            <v>0.12189538425686426</v>
          </cell>
        </row>
        <row r="8">
          <cell r="A8">
            <v>66</v>
          </cell>
          <cell r="B8">
            <v>115</v>
          </cell>
          <cell r="H8">
            <v>7.6719568903845278E-2</v>
          </cell>
        </row>
        <row r="9">
          <cell r="A9">
            <v>70</v>
          </cell>
          <cell r="B9">
            <v>137</v>
          </cell>
          <cell r="H9">
            <v>0.35205046066158219</v>
          </cell>
        </row>
        <row r="10">
          <cell r="A10">
            <v>76</v>
          </cell>
          <cell r="B10">
            <v>200</v>
          </cell>
          <cell r="H10">
            <v>0.88332162244271784</v>
          </cell>
        </row>
        <row r="11">
          <cell r="A11">
            <v>68</v>
          </cell>
          <cell r="B11">
            <v>130</v>
          </cell>
          <cell r="H11">
            <v>0.18309329220754714</v>
          </cell>
        </row>
        <row r="12">
          <cell r="A12">
            <v>72</v>
          </cell>
          <cell r="B12">
            <v>140</v>
          </cell>
          <cell r="H12">
            <v>0.5572728515956753</v>
          </cell>
        </row>
        <row r="13">
          <cell r="A13">
            <v>79</v>
          </cell>
          <cell r="B13">
            <v>265</v>
          </cell>
          <cell r="H13">
            <v>0.97600912012813501</v>
          </cell>
        </row>
        <row r="14">
          <cell r="A14">
            <v>74</v>
          </cell>
          <cell r="B14">
            <v>185</v>
          </cell>
          <cell r="H14">
            <v>0.7479036683721495</v>
          </cell>
        </row>
        <row r="15">
          <cell r="A15">
            <v>67</v>
          </cell>
          <cell r="B15">
            <v>112</v>
          </cell>
          <cell r="H15">
            <v>0.12189538425686426</v>
          </cell>
        </row>
        <row r="16">
          <cell r="A16">
            <v>66</v>
          </cell>
          <cell r="B16">
            <v>140</v>
          </cell>
          <cell r="H16">
            <v>7.6719568903845278E-2</v>
          </cell>
        </row>
        <row r="17">
          <cell r="A17">
            <v>71</v>
          </cell>
          <cell r="B17">
            <v>150</v>
          </cell>
          <cell r="H17">
            <v>0.45308690767740317</v>
          </cell>
        </row>
        <row r="18">
          <cell r="A18">
            <v>74</v>
          </cell>
          <cell r="B18">
            <v>165</v>
          </cell>
          <cell r="H18">
            <v>0.7479036683721495</v>
          </cell>
        </row>
        <row r="19">
          <cell r="A19">
            <v>75</v>
          </cell>
          <cell r="B19">
            <v>185</v>
          </cell>
          <cell r="H19">
            <v>0.82377095162645231</v>
          </cell>
        </row>
        <row r="20">
          <cell r="A20">
            <v>75</v>
          </cell>
          <cell r="B20">
            <v>210</v>
          </cell>
          <cell r="H20">
            <v>0.82377095162645231</v>
          </cell>
        </row>
        <row r="21">
          <cell r="A21">
            <v>76</v>
          </cell>
          <cell r="B21">
            <v>220</v>
          </cell>
          <cell r="H21">
            <v>0.88332162244271784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01"/>
  <sheetViews>
    <sheetView tabSelected="1" zoomScaleNormal="100" workbookViewId="0">
      <selection activeCell="B5" sqref="B5"/>
    </sheetView>
  </sheetViews>
  <sheetFormatPr defaultRowHeight="15" x14ac:dyDescent="0.25"/>
  <cols>
    <col min="8" max="8" width="28.7109375" customWidth="1"/>
    <col min="12" max="12" width="28.42578125" customWidth="1"/>
    <col min="35" max="35" width="26.85546875" customWidth="1"/>
    <col min="36" max="36" width="15" customWidth="1"/>
    <col min="44" max="44" width="15.5703125" customWidth="1"/>
    <col min="49" max="49" width="27.28515625" bestFit="1" customWidth="1"/>
    <col min="50" max="50" width="12" bestFit="1" customWidth="1"/>
    <col min="52" max="52" width="12" bestFit="1" customWidth="1"/>
  </cols>
  <sheetData>
    <row r="1" spans="1:66" ht="15.75" thickBot="1" x14ac:dyDescent="0.3">
      <c r="A1" s="1" t="s">
        <v>0</v>
      </c>
      <c r="C1" s="1" t="s">
        <v>1</v>
      </c>
      <c r="E1" s="1" t="s">
        <v>2</v>
      </c>
      <c r="AE1" t="s">
        <v>24</v>
      </c>
      <c r="AR1" t="s">
        <v>26</v>
      </c>
    </row>
    <row r="2" spans="1:66" ht="15.75" thickBot="1" x14ac:dyDescent="0.3">
      <c r="A2">
        <v>12.013918442069553</v>
      </c>
      <c r="C2">
        <v>8.5958895599178504</v>
      </c>
      <c r="E2">
        <f>ABS(C2)</f>
        <v>8.5958895599178504</v>
      </c>
      <c r="H2" s="5" t="s">
        <v>19</v>
      </c>
      <c r="I2" s="5"/>
      <c r="L2" s="5" t="s">
        <v>20</v>
      </c>
      <c r="M2" s="5"/>
      <c r="O2" s="4" t="s">
        <v>21</v>
      </c>
      <c r="P2" s="4" t="s">
        <v>23</v>
      </c>
      <c r="AE2">
        <f>STANDARDIZE(E2,$M$4,$M$8)</f>
        <v>-0.1410075484660876</v>
      </c>
      <c r="AI2" s="5" t="s">
        <v>24</v>
      </c>
      <c r="AJ2" s="5"/>
      <c r="AR2">
        <f>(AE2 - $AJ$13)/($AJ$14 - $AJ$13)</f>
        <v>0.20312818213868977</v>
      </c>
    </row>
    <row r="3" spans="1:66" x14ac:dyDescent="0.25">
      <c r="A3">
        <v>5.2194245856371708</v>
      </c>
      <c r="C3">
        <v>-6.5977082866011187</v>
      </c>
      <c r="E3">
        <f t="shared" ref="E3:E66" si="0">ABS(C3)</f>
        <v>6.5977082866011187</v>
      </c>
      <c r="H3" s="2"/>
      <c r="I3" s="2"/>
      <c r="L3" s="2"/>
      <c r="M3" s="2"/>
      <c r="O3" s="2">
        <v>-30.417056202888489</v>
      </c>
      <c r="P3" s="2">
        <v>1</v>
      </c>
      <c r="AE3">
        <f>STANDARDIZE(E3,$M$4,$M$8)</f>
        <v>-0.41506214263423896</v>
      </c>
      <c r="AI3" s="2"/>
      <c r="AJ3" s="2"/>
      <c r="AR3">
        <f t="shared" ref="AR3:AR66" si="1">(AE3 - $AJ$13)/($AJ$14 - $AJ$13)</f>
        <v>0.1558465154350589</v>
      </c>
      <c r="AW3" s="5" t="s">
        <v>26</v>
      </c>
      <c r="AX3" s="5"/>
      <c r="AZ3" s="4" t="s">
        <v>21</v>
      </c>
      <c r="BA3" s="4" t="s">
        <v>23</v>
      </c>
    </row>
    <row r="4" spans="1:66" x14ac:dyDescent="0.25">
      <c r="A4">
        <v>11.672107595775742</v>
      </c>
      <c r="C4">
        <v>23.700743460911326</v>
      </c>
      <c r="E4">
        <f t="shared" si="0"/>
        <v>23.700743460911326</v>
      </c>
      <c r="H4" s="6" t="s">
        <v>3</v>
      </c>
      <c r="I4" s="6">
        <v>7.1003603895478591</v>
      </c>
      <c r="L4" s="6" t="s">
        <v>3</v>
      </c>
      <c r="M4" s="6">
        <v>9.6240009243577376</v>
      </c>
      <c r="O4" s="2">
        <v>-28.072226301316292</v>
      </c>
      <c r="P4" s="2">
        <v>0</v>
      </c>
      <c r="AE4">
        <f t="shared" ref="AE4:AE67" si="2">STANDARDIZE(E4,$M$4,$M$8)</f>
        <v>1.9306536471845155</v>
      </c>
      <c r="AI4" s="6" t="s">
        <v>3</v>
      </c>
      <c r="AJ4" s="6">
        <v>-2.8588242884097782E-17</v>
      </c>
      <c r="AR4">
        <f t="shared" si="1"/>
        <v>0.56054453734672227</v>
      </c>
      <c r="AW4" s="2"/>
      <c r="AX4" s="2"/>
      <c r="AZ4" s="2">
        <v>0</v>
      </c>
      <c r="BA4" s="2">
        <v>1</v>
      </c>
    </row>
    <row r="5" spans="1:66" x14ac:dyDescent="0.25">
      <c r="A5">
        <v>1.4869151729799341</v>
      </c>
      <c r="C5">
        <v>-17.223198463208973</v>
      </c>
      <c r="E5">
        <f t="shared" si="0"/>
        <v>17.223198463208973</v>
      </c>
      <c r="H5" s="2" t="s">
        <v>4</v>
      </c>
      <c r="I5" s="2">
        <v>0.31198916194140713</v>
      </c>
      <c r="L5" s="2" t="s">
        <v>4</v>
      </c>
      <c r="M5" s="2">
        <v>0.32607146558264449</v>
      </c>
      <c r="O5" s="2">
        <v>-25.727396399744094</v>
      </c>
      <c r="P5" s="2">
        <v>0</v>
      </c>
      <c r="AE5">
        <f t="shared" si="2"/>
        <v>1.0422452784059186</v>
      </c>
      <c r="AI5" s="2" t="s">
        <v>4</v>
      </c>
      <c r="AJ5" s="2">
        <v>4.4721359549995794E-2</v>
      </c>
      <c r="AR5">
        <f t="shared" si="1"/>
        <v>0.40727059382168601</v>
      </c>
      <c r="AW5" s="2" t="s">
        <v>3</v>
      </c>
      <c r="AX5" s="2">
        <v>0.22745571413831353</v>
      </c>
      <c r="AZ5" s="2">
        <v>4.5454545454545456E-2</v>
      </c>
      <c r="BA5" s="2">
        <v>65</v>
      </c>
    </row>
    <row r="6" spans="1:66" x14ac:dyDescent="0.25">
      <c r="A6">
        <v>9.8203422769147437</v>
      </c>
      <c r="C6">
        <v>27.141225493513048</v>
      </c>
      <c r="E6">
        <f t="shared" si="0"/>
        <v>27.141225493513048</v>
      </c>
      <c r="H6" s="2" t="s">
        <v>5</v>
      </c>
      <c r="I6" s="2">
        <v>6.8823276453331346</v>
      </c>
      <c r="L6" s="2" t="s">
        <v>5</v>
      </c>
      <c r="M6" s="2">
        <v>8.1553019046696136</v>
      </c>
      <c r="O6" s="2">
        <v>-23.382566498171897</v>
      </c>
      <c r="P6" s="2">
        <v>0</v>
      </c>
      <c r="AE6">
        <f t="shared" si="2"/>
        <v>2.4025227011980279</v>
      </c>
      <c r="AI6" s="2" t="s">
        <v>5</v>
      </c>
      <c r="AJ6" s="2">
        <v>-0.20143503453402134</v>
      </c>
      <c r="AR6">
        <f t="shared" si="1"/>
        <v>0.6419544309022206</v>
      </c>
      <c r="AW6" s="2" t="s">
        <v>4</v>
      </c>
      <c r="AX6" s="2">
        <v>7.715617478314377E-3</v>
      </c>
      <c r="AZ6" s="2">
        <v>9.0909090909090912E-2</v>
      </c>
      <c r="BA6" s="2">
        <v>54</v>
      </c>
    </row>
    <row r="7" spans="1:66" x14ac:dyDescent="0.25">
      <c r="A7">
        <v>17.592895366949961</v>
      </c>
      <c r="C7">
        <v>-2.9251686808420345</v>
      </c>
      <c r="E7">
        <f t="shared" si="0"/>
        <v>2.9251686808420345</v>
      </c>
      <c r="H7" s="2" t="s">
        <v>6</v>
      </c>
      <c r="I7" s="2">
        <v>1.4869151729799341</v>
      </c>
      <c r="L7" s="2" t="s">
        <v>6</v>
      </c>
      <c r="M7" s="2">
        <v>10.242280930280685</v>
      </c>
      <c r="O7" s="2">
        <v>-21.0377365965997</v>
      </c>
      <c r="P7" s="2">
        <v>2</v>
      </c>
      <c r="AE7">
        <f t="shared" si="2"/>
        <v>-0.91875836112203568</v>
      </c>
      <c r="AI7" s="2" t="s">
        <v>6</v>
      </c>
      <c r="AJ7" s="2">
        <v>8.479835056418196E-2</v>
      </c>
      <c r="AR7">
        <f t="shared" si="1"/>
        <v>6.8945594125173024E-2</v>
      </c>
      <c r="AW7" s="2" t="s">
        <v>5</v>
      </c>
      <c r="AX7" s="2">
        <v>0.19270284238230054</v>
      </c>
      <c r="AZ7" s="2">
        <v>0.13636363636363635</v>
      </c>
      <c r="BA7" s="2">
        <v>70</v>
      </c>
    </row>
    <row r="8" spans="1:66" x14ac:dyDescent="0.25">
      <c r="A8">
        <v>21.927319741924293</v>
      </c>
      <c r="C8">
        <v>7.4339987097191624</v>
      </c>
      <c r="E8">
        <f t="shared" si="0"/>
        <v>7.4339987097191624</v>
      </c>
      <c r="H8" s="6" t="s">
        <v>7</v>
      </c>
      <c r="I8" s="6">
        <v>9.865963570219666</v>
      </c>
      <c r="J8" s="1"/>
      <c r="K8" s="1"/>
      <c r="L8" s="6" t="s">
        <v>7</v>
      </c>
      <c r="M8" s="6">
        <v>7.2911796256577617</v>
      </c>
      <c r="O8" s="2">
        <v>-18.692906695027503</v>
      </c>
      <c r="P8" s="2">
        <v>4</v>
      </c>
      <c r="AE8">
        <f t="shared" si="2"/>
        <v>-0.30036322338458471</v>
      </c>
      <c r="AI8" s="6" t="s">
        <v>7</v>
      </c>
      <c r="AJ8" s="6">
        <v>1</v>
      </c>
      <c r="AR8">
        <f t="shared" si="1"/>
        <v>0.17563511298690779</v>
      </c>
      <c r="AW8" s="2" t="s">
        <v>6</v>
      </c>
      <c r="AX8" s="2">
        <v>0.24208567267107681</v>
      </c>
      <c r="AZ8" s="2">
        <v>0.18181818181818182</v>
      </c>
      <c r="BA8" s="2">
        <v>48</v>
      </c>
    </row>
    <row r="9" spans="1:66" x14ac:dyDescent="0.25">
      <c r="A9">
        <v>-2.6716470327228308</v>
      </c>
      <c r="C9">
        <v>13.100673661218025</v>
      </c>
      <c r="E9">
        <f t="shared" si="0"/>
        <v>13.100673661218025</v>
      </c>
      <c r="H9" s="2" t="s">
        <v>8</v>
      </c>
      <c r="I9" s="2">
        <v>97.337237168901567</v>
      </c>
      <c r="L9" s="2" t="s">
        <v>8</v>
      </c>
      <c r="M9" s="2">
        <v>53.16130033360686</v>
      </c>
      <c r="O9" s="2">
        <v>-16.348076793455309</v>
      </c>
      <c r="P9" s="2">
        <v>7</v>
      </c>
      <c r="AE9">
        <f t="shared" si="2"/>
        <v>0.47683268213909147</v>
      </c>
      <c r="AI9" s="2" t="s">
        <v>8</v>
      </c>
      <c r="AJ9" s="2">
        <v>1.0000000000000002</v>
      </c>
      <c r="AR9">
        <f t="shared" si="1"/>
        <v>0.3097219648418712</v>
      </c>
      <c r="AW9" s="2" t="s">
        <v>7</v>
      </c>
      <c r="AX9" s="2">
        <v>0.17252645169896458</v>
      </c>
      <c r="AZ9" s="2">
        <v>0.22727272727272729</v>
      </c>
      <c r="BA9" s="2">
        <v>51</v>
      </c>
    </row>
    <row r="10" spans="1:66" x14ac:dyDescent="0.25">
      <c r="A10">
        <v>2.1500391287263483</v>
      </c>
      <c r="C10">
        <v>-11.700746634043753</v>
      </c>
      <c r="E10">
        <f t="shared" si="0"/>
        <v>11.700746634043753</v>
      </c>
      <c r="H10" s="2" t="s">
        <v>9</v>
      </c>
      <c r="I10" s="2">
        <v>0.18146142650275721</v>
      </c>
      <c r="L10" s="2" t="s">
        <v>9</v>
      </c>
      <c r="M10" s="2">
        <v>0.73756811656380084</v>
      </c>
      <c r="O10" s="2">
        <v>-14.003246891883112</v>
      </c>
      <c r="P10" s="2">
        <v>3</v>
      </c>
      <c r="AE10">
        <f t="shared" si="2"/>
        <v>0.28482986516721093</v>
      </c>
      <c r="AI10" s="2" t="s">
        <v>9</v>
      </c>
      <c r="AJ10" s="2">
        <v>0.73756811656379417</v>
      </c>
      <c r="AR10">
        <f t="shared" si="1"/>
        <v>0.27659640011350695</v>
      </c>
      <c r="AW10" s="2" t="s">
        <v>8</v>
      </c>
      <c r="AX10" s="2">
        <v>2.9765376535835161E-2</v>
      </c>
      <c r="AZ10" s="2">
        <v>0.27272727272727271</v>
      </c>
      <c r="BA10" s="2">
        <v>54</v>
      </c>
    </row>
    <row r="11" spans="1:66" x14ac:dyDescent="0.25">
      <c r="A11">
        <v>-2.9544089355040342</v>
      </c>
      <c r="C11">
        <v>10.638512341945898</v>
      </c>
      <c r="E11">
        <f t="shared" si="0"/>
        <v>10.638512341945898</v>
      </c>
      <c r="H11" s="2" t="s">
        <v>10</v>
      </c>
      <c r="I11" s="2">
        <v>5.5692585147358871E-2</v>
      </c>
      <c r="L11" s="2" t="s">
        <v>10</v>
      </c>
      <c r="M11" s="2">
        <v>1.0051359609256298</v>
      </c>
      <c r="O11" s="2">
        <v>-11.658416990310915</v>
      </c>
      <c r="P11" s="2">
        <v>12</v>
      </c>
      <c r="AE11">
        <f t="shared" si="2"/>
        <v>0.13914228830929917</v>
      </c>
      <c r="AI11" s="2" t="s">
        <v>10</v>
      </c>
      <c r="AJ11" s="2">
        <v>1.0051359609256283</v>
      </c>
      <c r="AR11">
        <f t="shared" si="1"/>
        <v>0.25146143942159127</v>
      </c>
      <c r="AW11" s="2" t="s">
        <v>9</v>
      </c>
      <c r="AX11" s="2">
        <v>0.73756811656378574</v>
      </c>
      <c r="AZ11" s="2">
        <v>0.31818181818181818</v>
      </c>
      <c r="BA11" s="2">
        <v>35</v>
      </c>
    </row>
    <row r="12" spans="1:66" x14ac:dyDescent="0.25">
      <c r="A12">
        <v>-1.5747282102820463</v>
      </c>
      <c r="C12">
        <v>2.9897301121382043</v>
      </c>
      <c r="E12">
        <f t="shared" si="0"/>
        <v>2.9897301121382043</v>
      </c>
      <c r="H12" s="2" t="s">
        <v>11</v>
      </c>
      <c r="I12" s="2">
        <v>72.689726948738098</v>
      </c>
      <c r="L12" s="2" t="s">
        <v>11</v>
      </c>
      <c r="M12" s="2">
        <v>42.261227503709961</v>
      </c>
      <c r="O12" s="2">
        <v>-9.3135870887387178</v>
      </c>
      <c r="P12" s="2">
        <v>12</v>
      </c>
      <c r="AE12">
        <f t="shared" si="2"/>
        <v>-0.9099036305282403</v>
      </c>
      <c r="AI12" s="2" t="s">
        <v>11</v>
      </c>
      <c r="AJ12" s="2">
        <v>5.7962126395833282</v>
      </c>
      <c r="AR12">
        <f t="shared" si="1"/>
        <v>7.0473269375270806E-2</v>
      </c>
      <c r="AW12" s="2" t="s">
        <v>10</v>
      </c>
      <c r="AX12" s="2">
        <v>1.0051359609256281</v>
      </c>
      <c r="AZ12" s="2">
        <v>0.36363636363636365</v>
      </c>
      <c r="BA12" s="2">
        <v>19</v>
      </c>
    </row>
    <row r="13" spans="1:66" x14ac:dyDescent="0.25">
      <c r="A13">
        <v>9.1657903087325394</v>
      </c>
      <c r="C13">
        <v>19.077895578637253</v>
      </c>
      <c r="E13">
        <f t="shared" si="0"/>
        <v>19.077895578637253</v>
      </c>
      <c r="H13" s="2" t="s">
        <v>12</v>
      </c>
      <c r="I13" s="2">
        <v>-30.417056202888489</v>
      </c>
      <c r="L13" s="2" t="s">
        <v>12</v>
      </c>
      <c r="M13" s="2">
        <v>1.1443242139648646E-2</v>
      </c>
      <c r="O13" s="2">
        <v>-6.9687571871665206</v>
      </c>
      <c r="P13" s="2">
        <v>21</v>
      </c>
      <c r="AE13">
        <f t="shared" si="2"/>
        <v>1.2966207307540649</v>
      </c>
      <c r="AI13" s="2" t="s">
        <v>12</v>
      </c>
      <c r="AJ13" s="2">
        <v>-1.3183816852339456</v>
      </c>
      <c r="AR13">
        <f t="shared" si="1"/>
        <v>0.45115708801463072</v>
      </c>
      <c r="AW13" s="2" t="s">
        <v>11</v>
      </c>
      <c r="AX13" s="2">
        <v>1</v>
      </c>
      <c r="AZ13" s="2">
        <v>0.40909090909090912</v>
      </c>
      <c r="BA13" s="2">
        <v>23</v>
      </c>
    </row>
    <row r="14" spans="1:66" x14ac:dyDescent="0.25">
      <c r="A14">
        <v>11.183686203556135</v>
      </c>
      <c r="C14">
        <v>12.790308594238013</v>
      </c>
      <c r="E14">
        <f t="shared" si="0"/>
        <v>12.790308594238013</v>
      </c>
      <c r="H14" s="2" t="s">
        <v>13</v>
      </c>
      <c r="I14" s="2">
        <v>42.272670745849609</v>
      </c>
      <c r="L14" s="2" t="s">
        <v>13</v>
      </c>
      <c r="M14" s="2">
        <v>42.272670745849609</v>
      </c>
      <c r="O14" s="2">
        <v>-4.6239272855943234</v>
      </c>
      <c r="P14" s="2">
        <v>47</v>
      </c>
      <c r="AE14">
        <f t="shared" si="2"/>
        <v>0.43426548685455441</v>
      </c>
      <c r="AI14" s="2" t="s">
        <v>13</v>
      </c>
      <c r="AJ14" s="2">
        <v>4.4778309543493826</v>
      </c>
      <c r="AR14">
        <f t="shared" si="1"/>
        <v>0.30237799768065315</v>
      </c>
      <c r="AW14" s="2" t="s">
        <v>12</v>
      </c>
      <c r="AX14" s="2">
        <v>0</v>
      </c>
      <c r="AZ14" s="2">
        <v>0.45454545454545459</v>
      </c>
      <c r="BA14" s="2">
        <v>17</v>
      </c>
    </row>
    <row r="15" spans="1:66" x14ac:dyDescent="0.25">
      <c r="A15">
        <v>4.3066102282027714</v>
      </c>
      <c r="C15">
        <v>8.4296680344850756</v>
      </c>
      <c r="E15">
        <f t="shared" si="0"/>
        <v>8.4296680344850756</v>
      </c>
      <c r="H15" s="2" t="s">
        <v>14</v>
      </c>
      <c r="I15" s="2">
        <v>7100.3603895478591</v>
      </c>
      <c r="L15" s="2" t="s">
        <v>14</v>
      </c>
      <c r="M15" s="2">
        <v>4812.0004621788685</v>
      </c>
      <c r="O15" s="2">
        <v>-2.2790973840221298</v>
      </c>
      <c r="P15" s="2">
        <v>54</v>
      </c>
      <c r="AE15">
        <f t="shared" si="2"/>
        <v>-0.16380516613111382</v>
      </c>
      <c r="AI15" s="2" t="s">
        <v>14</v>
      </c>
      <c r="AJ15" s="2">
        <v>-1.429412144204889E-14</v>
      </c>
      <c r="AR15">
        <f t="shared" si="1"/>
        <v>0.19919499005575317</v>
      </c>
      <c r="AW15" s="2" t="s">
        <v>13</v>
      </c>
      <c r="AX15" s="2">
        <v>1</v>
      </c>
      <c r="AZ15" s="2">
        <v>0.5</v>
      </c>
      <c r="BA15" s="2">
        <v>20</v>
      </c>
    </row>
    <row r="16" spans="1:66" x14ac:dyDescent="0.25">
      <c r="A16">
        <v>27.065282685915008</v>
      </c>
      <c r="C16">
        <v>10.278966348967515</v>
      </c>
      <c r="E16">
        <f t="shared" si="0"/>
        <v>10.278966348967515</v>
      </c>
      <c r="H16" s="2" t="s">
        <v>15</v>
      </c>
      <c r="I16" s="2">
        <v>1000</v>
      </c>
      <c r="L16" s="2" t="s">
        <v>15</v>
      </c>
      <c r="M16" s="2">
        <v>500</v>
      </c>
      <c r="O16" s="2">
        <v>6.5732517550067371E-2</v>
      </c>
      <c r="P16" s="2">
        <v>68</v>
      </c>
      <c r="AE16">
        <f t="shared" si="2"/>
        <v>8.9829829771981617E-2</v>
      </c>
      <c r="AI16" s="2" t="s">
        <v>15</v>
      </c>
      <c r="AJ16" s="2">
        <v>500</v>
      </c>
      <c r="AR16">
        <f t="shared" si="1"/>
        <v>0.2429537359255956</v>
      </c>
      <c r="AW16" s="2" t="s">
        <v>14</v>
      </c>
      <c r="AX16" s="2">
        <v>113.72785706915677</v>
      </c>
      <c r="AZ16" s="2">
        <v>0.54545454545454541</v>
      </c>
      <c r="BA16" s="2">
        <v>11</v>
      </c>
      <c r="BN16" t="s">
        <v>25</v>
      </c>
    </row>
    <row r="17" spans="1:53" x14ac:dyDescent="0.25">
      <c r="A17">
        <v>-6.5977082866011187</v>
      </c>
      <c r="C17">
        <v>10.586273240012815</v>
      </c>
      <c r="E17">
        <f t="shared" si="0"/>
        <v>10.586273240012815</v>
      </c>
      <c r="H17" s="2" t="s">
        <v>16</v>
      </c>
      <c r="I17" s="2">
        <v>42.272670745849609</v>
      </c>
      <c r="L17" s="2" t="s">
        <v>16</v>
      </c>
      <c r="M17" s="2">
        <v>42.272670745849609</v>
      </c>
      <c r="O17" s="2">
        <v>2.4105624191222645</v>
      </c>
      <c r="P17" s="2">
        <v>96</v>
      </c>
      <c r="AE17">
        <f t="shared" si="2"/>
        <v>0.13197759005536336</v>
      </c>
      <c r="AI17" s="2" t="s">
        <v>16</v>
      </c>
      <c r="AJ17" s="2">
        <v>4.4778309543493826</v>
      </c>
      <c r="AR17">
        <f t="shared" si="1"/>
        <v>0.25022533945434594</v>
      </c>
      <c r="AW17" s="2" t="s">
        <v>15</v>
      </c>
      <c r="AX17" s="2">
        <v>500</v>
      </c>
      <c r="AZ17" s="2">
        <v>0.59090909090909094</v>
      </c>
      <c r="BA17" s="2">
        <v>10</v>
      </c>
    </row>
    <row r="18" spans="1:53" x14ac:dyDescent="0.25">
      <c r="A18">
        <v>2.8731669974222314</v>
      </c>
      <c r="C18">
        <v>2.150937254744349</v>
      </c>
      <c r="E18">
        <f t="shared" si="0"/>
        <v>2.150937254744349</v>
      </c>
      <c r="H18" s="2" t="s">
        <v>17</v>
      </c>
      <c r="I18" s="2">
        <v>-30.417056202888489</v>
      </c>
      <c r="L18" s="2" t="s">
        <v>17</v>
      </c>
      <c r="M18" s="2">
        <v>1.1443242139648646E-2</v>
      </c>
      <c r="O18" s="2">
        <v>4.7553923206944617</v>
      </c>
      <c r="P18" s="2">
        <v>88</v>
      </c>
      <c r="AE18">
        <f t="shared" si="2"/>
        <v>-1.0249457636889885</v>
      </c>
      <c r="AI18" s="2" t="s">
        <v>17</v>
      </c>
      <c r="AJ18" s="2">
        <v>-1.3183816852339456</v>
      </c>
      <c r="AR18">
        <f t="shared" si="1"/>
        <v>5.062545834516715E-2</v>
      </c>
      <c r="AW18" s="2" t="s">
        <v>16</v>
      </c>
      <c r="AX18" s="2">
        <v>1</v>
      </c>
      <c r="AZ18" s="2">
        <v>0.63636363636363635</v>
      </c>
      <c r="BA18" s="2">
        <v>11</v>
      </c>
    </row>
    <row r="19" spans="1:53" ht="15.75" thickBot="1" x14ac:dyDescent="0.3">
      <c r="A19">
        <v>4.915948941023089</v>
      </c>
      <c r="C19">
        <v>1.3929984763381071</v>
      </c>
      <c r="E19">
        <f t="shared" si="0"/>
        <v>1.3929984763381071</v>
      </c>
      <c r="H19" s="3" t="s">
        <v>18</v>
      </c>
      <c r="I19" s="3">
        <v>0.61222926790190535</v>
      </c>
      <c r="L19" s="3" t="s">
        <v>18</v>
      </c>
      <c r="M19" s="3">
        <v>0.64064219199265005</v>
      </c>
      <c r="O19" s="2">
        <v>7.1002222222666589</v>
      </c>
      <c r="P19" s="2">
        <v>91</v>
      </c>
      <c r="AE19">
        <f t="shared" si="2"/>
        <v>-1.1288985967448422</v>
      </c>
      <c r="AI19" s="3" t="s">
        <v>18</v>
      </c>
      <c r="AJ19" s="3">
        <v>8.7865369512804395E-2</v>
      </c>
      <c r="AR19">
        <f t="shared" si="1"/>
        <v>3.2690844913985904E-2</v>
      </c>
      <c r="AW19" s="2" t="s">
        <v>17</v>
      </c>
      <c r="AX19" s="2">
        <v>0</v>
      </c>
      <c r="AZ19" s="2">
        <v>0.68181818181818188</v>
      </c>
      <c r="BA19" s="2">
        <v>5</v>
      </c>
    </row>
    <row r="20" spans="1:53" ht="15.75" thickBot="1" x14ac:dyDescent="0.3">
      <c r="A20">
        <v>0.64525740727549419</v>
      </c>
      <c r="C20">
        <v>9.7775846572476439</v>
      </c>
      <c r="E20">
        <f t="shared" si="0"/>
        <v>9.7775846572476439</v>
      </c>
      <c r="O20" s="2">
        <v>9.4450521238388561</v>
      </c>
      <c r="P20" s="2">
        <v>101</v>
      </c>
      <c r="AE20">
        <f t="shared" si="2"/>
        <v>2.1064318913422881E-2</v>
      </c>
      <c r="AR20">
        <f t="shared" si="1"/>
        <v>0.23108986633790185</v>
      </c>
      <c r="AW20" s="3" t="s">
        <v>18</v>
      </c>
      <c r="AX20" s="3">
        <v>1.515910042926252E-2</v>
      </c>
      <c r="AZ20" s="2">
        <v>0.72727272727272729</v>
      </c>
      <c r="BA20" s="2">
        <v>2</v>
      </c>
    </row>
    <row r="21" spans="1:53" x14ac:dyDescent="0.25">
      <c r="A21">
        <v>15.731978257652372</v>
      </c>
      <c r="C21">
        <v>20.246437108842656</v>
      </c>
      <c r="E21">
        <f t="shared" si="0"/>
        <v>20.246437108842656</v>
      </c>
      <c r="O21" s="2">
        <v>11.789882025411053</v>
      </c>
      <c r="P21" s="2">
        <v>93</v>
      </c>
      <c r="AE21">
        <f t="shared" si="2"/>
        <v>1.4568885598572305</v>
      </c>
      <c r="AR21">
        <f t="shared" si="1"/>
        <v>0.47880752789129588</v>
      </c>
      <c r="AZ21" s="2">
        <v>0.77272727272727271</v>
      </c>
      <c r="BA21" s="2">
        <v>1</v>
      </c>
    </row>
    <row r="22" spans="1:53" x14ac:dyDescent="0.25">
      <c r="A22">
        <v>3.0191977404756472</v>
      </c>
      <c r="C22">
        <v>5.238501237006858</v>
      </c>
      <c r="E22">
        <f t="shared" si="0"/>
        <v>5.238501237006858</v>
      </c>
      <c r="O22" s="2">
        <v>14.13471192698325</v>
      </c>
      <c r="P22" s="2">
        <v>71</v>
      </c>
      <c r="AE22">
        <f t="shared" si="2"/>
        <v>-0.60148013250397037</v>
      </c>
      <c r="AR22">
        <f t="shared" si="1"/>
        <v>0.12368448110998065</v>
      </c>
      <c r="AZ22" s="2">
        <v>0.81818181818181823</v>
      </c>
      <c r="BA22" s="2">
        <v>2</v>
      </c>
    </row>
    <row r="23" spans="1:53" x14ac:dyDescent="0.25">
      <c r="A23">
        <v>-1.5672392502892762E-2</v>
      </c>
      <c r="C23">
        <v>6.6445118338451721</v>
      </c>
      <c r="E23">
        <f t="shared" si="0"/>
        <v>6.6445118338451721</v>
      </c>
      <c r="O23" s="2">
        <v>16.479541828555448</v>
      </c>
      <c r="P23" s="2">
        <v>53</v>
      </c>
      <c r="AE23">
        <f t="shared" si="2"/>
        <v>-0.40864294167540494</v>
      </c>
      <c r="AR23">
        <f t="shared" si="1"/>
        <v>0.15695399739922913</v>
      </c>
      <c r="AZ23" s="2">
        <v>0.86363636363636365</v>
      </c>
      <c r="BA23" s="2">
        <v>0</v>
      </c>
    </row>
    <row r="24" spans="1:53" ht="15.75" thickBot="1" x14ac:dyDescent="0.3">
      <c r="A24">
        <v>7.5197867974638939</v>
      </c>
      <c r="C24">
        <v>8.5958895599178504</v>
      </c>
      <c r="E24">
        <f t="shared" si="0"/>
        <v>8.5958895599178504</v>
      </c>
      <c r="O24" s="2">
        <v>18.824371730127645</v>
      </c>
      <c r="P24" s="2">
        <v>46</v>
      </c>
      <c r="AE24">
        <f t="shared" si="2"/>
        <v>-0.1410075484660876</v>
      </c>
      <c r="AR24">
        <f t="shared" si="1"/>
        <v>0.20312818213868977</v>
      </c>
      <c r="AZ24" s="2">
        <v>0.90909090909090917</v>
      </c>
      <c r="BA24" s="2">
        <v>0</v>
      </c>
    </row>
    <row r="25" spans="1:53" x14ac:dyDescent="0.25">
      <c r="A25">
        <v>21.785461305815261</v>
      </c>
      <c r="C25">
        <v>24.381864043069072</v>
      </c>
      <c r="E25">
        <f t="shared" si="0"/>
        <v>24.381864043069072</v>
      </c>
      <c r="O25" s="2">
        <v>21.169201631699842</v>
      </c>
      <c r="P25" s="2">
        <v>51</v>
      </c>
      <c r="AE25">
        <f t="shared" si="2"/>
        <v>2.0240707095979658</v>
      </c>
      <c r="AI25" s="4" t="s">
        <v>21</v>
      </c>
      <c r="AJ25" s="4" t="s">
        <v>23</v>
      </c>
      <c r="AR25">
        <f t="shared" si="1"/>
        <v>0.5766614516530556</v>
      </c>
      <c r="AZ25" s="2">
        <v>0.95454545454545459</v>
      </c>
      <c r="BA25" s="2">
        <v>0</v>
      </c>
    </row>
    <row r="26" spans="1:53" ht="15.75" thickBot="1" x14ac:dyDescent="0.3">
      <c r="A26">
        <v>19.080737749580294</v>
      </c>
      <c r="C26">
        <v>-14.048152459319681</v>
      </c>
      <c r="E26">
        <f t="shared" si="0"/>
        <v>14.048152459319681</v>
      </c>
      <c r="O26" s="2">
        <v>23.514031533272039</v>
      </c>
      <c r="P26" s="2">
        <v>32</v>
      </c>
      <c r="AE26">
        <f t="shared" si="2"/>
        <v>0.60678131140718206</v>
      </c>
      <c r="AI26" s="2">
        <v>-1.3183816852339456</v>
      </c>
      <c r="AJ26" s="2">
        <v>1</v>
      </c>
      <c r="AR26">
        <f t="shared" si="1"/>
        <v>0.33214154075263908</v>
      </c>
      <c r="AZ26" s="3"/>
      <c r="BA26" s="3"/>
    </row>
    <row r="27" spans="1:53" x14ac:dyDescent="0.25">
      <c r="A27">
        <v>16.130109563353471</v>
      </c>
      <c r="C27">
        <v>-0.62116849020821974</v>
      </c>
      <c r="E27">
        <f t="shared" si="0"/>
        <v>0.62116849020821974</v>
      </c>
      <c r="O27" s="2">
        <v>25.858861434844229</v>
      </c>
      <c r="P27" s="2">
        <v>14</v>
      </c>
      <c r="AE27">
        <f t="shared" si="2"/>
        <v>-1.2347566369738616</v>
      </c>
      <c r="AI27" s="2">
        <v>-1.0549174743437943</v>
      </c>
      <c r="AJ27" s="2">
        <v>65</v>
      </c>
      <c r="AR27">
        <f t="shared" si="1"/>
        <v>1.4427532849466946E-2</v>
      </c>
    </row>
    <row r="28" spans="1:53" x14ac:dyDescent="0.25">
      <c r="A28">
        <v>9.4729266695212573</v>
      </c>
      <c r="C28">
        <v>9.7379534256178886</v>
      </c>
      <c r="E28">
        <f t="shared" si="0"/>
        <v>9.7379534256178886</v>
      </c>
      <c r="O28" s="2">
        <v>28.203691336416426</v>
      </c>
      <c r="P28" s="2">
        <v>15</v>
      </c>
      <c r="AE28">
        <f t="shared" si="2"/>
        <v>1.5628815515551224E-2</v>
      </c>
      <c r="AI28" s="2">
        <v>-0.79145326345364309</v>
      </c>
      <c r="AJ28" s="2">
        <v>54</v>
      </c>
      <c r="AR28">
        <f t="shared" si="1"/>
        <v>0.23015209822346938</v>
      </c>
    </row>
    <row r="29" spans="1:53" x14ac:dyDescent="0.25">
      <c r="A29">
        <v>8.2107753971358761</v>
      </c>
      <c r="C29">
        <v>10.04715888685314</v>
      </c>
      <c r="E29">
        <f t="shared" si="0"/>
        <v>10.04715888685314</v>
      </c>
      <c r="O29" s="2">
        <v>30.548521237988624</v>
      </c>
      <c r="P29" s="2">
        <v>8</v>
      </c>
      <c r="AE29">
        <f t="shared" si="2"/>
        <v>5.8036968531992215E-2</v>
      </c>
      <c r="AI29" s="2">
        <v>-0.52798905256349182</v>
      </c>
      <c r="AJ29" s="2">
        <v>70</v>
      </c>
      <c r="AR29">
        <f t="shared" si="1"/>
        <v>0.23746862638650265</v>
      </c>
    </row>
    <row r="30" spans="1:53" x14ac:dyDescent="0.25">
      <c r="A30">
        <v>15.143830771383364</v>
      </c>
      <c r="C30">
        <v>10.835474788298598</v>
      </c>
      <c r="E30">
        <f t="shared" si="0"/>
        <v>10.835474788298598</v>
      </c>
      <c r="O30" s="2">
        <v>32.893351139560821</v>
      </c>
      <c r="P30" s="2">
        <v>5</v>
      </c>
      <c r="AE30">
        <f t="shared" si="2"/>
        <v>0.16615608531679382</v>
      </c>
      <c r="AI30" s="2">
        <v>-0.26452484167334056</v>
      </c>
      <c r="AJ30" s="2">
        <v>48</v>
      </c>
      <c r="AR30">
        <f t="shared" si="1"/>
        <v>0.25612203396621042</v>
      </c>
    </row>
    <row r="31" spans="1:53" x14ac:dyDescent="0.25">
      <c r="A31">
        <v>11.325635589135345</v>
      </c>
      <c r="C31">
        <v>7.288343133230228</v>
      </c>
      <c r="E31">
        <f t="shared" si="0"/>
        <v>7.288343133230228</v>
      </c>
      <c r="O31" s="2">
        <v>35.238181041133018</v>
      </c>
      <c r="P31" s="2">
        <v>3</v>
      </c>
      <c r="AE31">
        <f t="shared" si="2"/>
        <v>-0.32034017964778944</v>
      </c>
      <c r="AI31" s="2">
        <v>-1.060630783189298E-3</v>
      </c>
      <c r="AJ31" s="2">
        <v>51</v>
      </c>
      <c r="AR31">
        <f t="shared" si="1"/>
        <v>0.17218855960707169</v>
      </c>
    </row>
    <row r="32" spans="1:53" x14ac:dyDescent="0.25">
      <c r="A32">
        <v>16.926940608944278</v>
      </c>
      <c r="C32">
        <v>-3.0215523818624206</v>
      </c>
      <c r="E32">
        <f t="shared" si="0"/>
        <v>3.0215523818624206</v>
      </c>
      <c r="O32" s="2">
        <v>37.583010942705215</v>
      </c>
      <c r="P32" s="2">
        <v>1</v>
      </c>
      <c r="AE32">
        <f t="shared" si="2"/>
        <v>-0.90553914201499153</v>
      </c>
      <c r="AI32" s="2">
        <v>0.26240358010696196</v>
      </c>
      <c r="AJ32" s="2">
        <v>54</v>
      </c>
      <c r="AR32">
        <f t="shared" si="1"/>
        <v>7.1226259091942509E-2</v>
      </c>
    </row>
    <row r="33" spans="1:44" x14ac:dyDescent="0.25">
      <c r="A33">
        <v>4.6784002936037723</v>
      </c>
      <c r="C33">
        <v>11.341813226143131</v>
      </c>
      <c r="E33">
        <f t="shared" si="0"/>
        <v>11.341813226143131</v>
      </c>
      <c r="O33" s="2">
        <v>39.927840844277412</v>
      </c>
      <c r="P33" s="2">
        <v>0</v>
      </c>
      <c r="AE33">
        <f t="shared" si="2"/>
        <v>0.23560142390956715</v>
      </c>
      <c r="AI33" s="2">
        <v>0.52586779099711323</v>
      </c>
      <c r="AJ33" s="2">
        <v>35</v>
      </c>
      <c r="AR33">
        <f t="shared" si="1"/>
        <v>0.26810319182065478</v>
      </c>
    </row>
    <row r="34" spans="1:44" ht="15.75" thickBot="1" x14ac:dyDescent="0.3">
      <c r="A34">
        <v>7.4010408954636659</v>
      </c>
      <c r="C34">
        <v>11.488594302325509</v>
      </c>
      <c r="E34">
        <f t="shared" si="0"/>
        <v>11.488594302325509</v>
      </c>
      <c r="O34" s="3"/>
      <c r="P34" s="3"/>
      <c r="AE34">
        <f t="shared" si="2"/>
        <v>0.25573274472710039</v>
      </c>
      <c r="AI34" s="2">
        <v>0.78933200188726449</v>
      </c>
      <c r="AJ34" s="2">
        <v>19</v>
      </c>
      <c r="AR34">
        <f t="shared" si="1"/>
        <v>0.27157637716931732</v>
      </c>
    </row>
    <row r="35" spans="1:44" x14ac:dyDescent="0.25">
      <c r="A35">
        <v>-8.4466200658353046</v>
      </c>
      <c r="C35">
        <v>1.870869730017148</v>
      </c>
      <c r="E35">
        <f t="shared" si="0"/>
        <v>1.870869730017148</v>
      </c>
      <c r="AE35">
        <f t="shared" si="2"/>
        <v>-1.0633575899100352</v>
      </c>
      <c r="AI35" s="2">
        <v>1.052796212777416</v>
      </c>
      <c r="AJ35" s="2">
        <v>23</v>
      </c>
      <c r="AR35">
        <f t="shared" si="1"/>
        <v>4.3998402263972732E-2</v>
      </c>
    </row>
    <row r="36" spans="1:44" ht="15.75" thickBot="1" x14ac:dyDescent="0.3">
      <c r="A36">
        <v>8.1870489541033749</v>
      </c>
      <c r="C36">
        <v>21.749922800343484</v>
      </c>
      <c r="E36">
        <f t="shared" si="0"/>
        <v>21.749922800343484</v>
      </c>
      <c r="AE36">
        <f t="shared" si="2"/>
        <v>1.6630946566334013</v>
      </c>
      <c r="AI36" s="2">
        <v>1.316260423667567</v>
      </c>
      <c r="AJ36" s="2">
        <v>17</v>
      </c>
      <c r="AR36">
        <f t="shared" si="1"/>
        <v>0.51438353408678184</v>
      </c>
    </row>
    <row r="37" spans="1:44" x14ac:dyDescent="0.25">
      <c r="A37">
        <v>8.6702521204715595</v>
      </c>
      <c r="C37">
        <v>33.489862309768796</v>
      </c>
      <c r="E37">
        <f t="shared" si="0"/>
        <v>33.489862309768796</v>
      </c>
      <c r="O37" s="4" t="s">
        <v>21</v>
      </c>
      <c r="P37" s="4" t="s">
        <v>23</v>
      </c>
      <c r="AE37">
        <f t="shared" si="2"/>
        <v>3.2732510527414198</v>
      </c>
      <c r="AI37" s="2">
        <v>1.5797246345577181</v>
      </c>
      <c r="AJ37" s="2">
        <v>20</v>
      </c>
      <c r="AR37">
        <f t="shared" si="1"/>
        <v>0.79217810378769049</v>
      </c>
    </row>
    <row r="38" spans="1:44" x14ac:dyDescent="0.25">
      <c r="A38">
        <v>-16.641667550895363</v>
      </c>
      <c r="C38">
        <v>-10.418813851894811</v>
      </c>
      <c r="E38">
        <f t="shared" si="0"/>
        <v>10.418813851894811</v>
      </c>
      <c r="O38" s="2">
        <v>1.1443242139648646E-2</v>
      </c>
      <c r="P38" s="2">
        <v>1</v>
      </c>
      <c r="AE38">
        <f t="shared" si="2"/>
        <v>0.10901019702492523</v>
      </c>
      <c r="AI38" s="2">
        <v>1.8431888454478695</v>
      </c>
      <c r="AJ38" s="2">
        <v>11</v>
      </c>
      <c r="AR38">
        <f t="shared" si="1"/>
        <v>0.24626285663002898</v>
      </c>
    </row>
    <row r="39" spans="1:44" x14ac:dyDescent="0.25">
      <c r="A39">
        <v>3.1985273582977243</v>
      </c>
      <c r="C39">
        <v>6.7933733791578561</v>
      </c>
      <c r="E39">
        <f t="shared" si="0"/>
        <v>6.7933733791578561</v>
      </c>
      <c r="O39" s="2">
        <v>1.9324081286719197</v>
      </c>
      <c r="P39" s="2">
        <v>65</v>
      </c>
      <c r="AE39">
        <f t="shared" si="2"/>
        <v>-0.38822628031805223</v>
      </c>
      <c r="AI39" s="2">
        <v>2.106653056338021</v>
      </c>
      <c r="AJ39" s="2">
        <v>10</v>
      </c>
      <c r="AR39">
        <f t="shared" si="1"/>
        <v>0.16047641153875253</v>
      </c>
    </row>
    <row r="40" spans="1:44" x14ac:dyDescent="0.25">
      <c r="A40">
        <v>9.3462226888805162</v>
      </c>
      <c r="C40">
        <v>4.2237552608712576</v>
      </c>
      <c r="E40">
        <f t="shared" si="0"/>
        <v>4.2237552608712576</v>
      </c>
      <c r="O40" s="2">
        <v>3.8533730152041907</v>
      </c>
      <c r="P40" s="2">
        <v>54</v>
      </c>
      <c r="AE40">
        <f t="shared" si="2"/>
        <v>-0.74065459099141395</v>
      </c>
      <c r="AI40" s="2">
        <v>2.3701172672281721</v>
      </c>
      <c r="AJ40" s="2">
        <v>11</v>
      </c>
      <c r="AR40">
        <f t="shared" si="1"/>
        <v>9.9673205620017191E-2</v>
      </c>
    </row>
    <row r="41" spans="1:44" x14ac:dyDescent="0.25">
      <c r="A41">
        <v>10.861770553863607</v>
      </c>
      <c r="C41">
        <v>17.676864465291146</v>
      </c>
      <c r="E41">
        <f t="shared" si="0"/>
        <v>17.676864465291146</v>
      </c>
      <c r="O41" s="2">
        <v>5.7743379017364616</v>
      </c>
      <c r="P41" s="2">
        <v>70</v>
      </c>
      <c r="AE41">
        <f t="shared" si="2"/>
        <v>1.1044664861355591</v>
      </c>
      <c r="AI41" s="2">
        <v>2.6335814781183231</v>
      </c>
      <c r="AJ41" s="2">
        <v>5</v>
      </c>
      <c r="AR41">
        <f t="shared" si="1"/>
        <v>0.418005398011705</v>
      </c>
    </row>
    <row r="42" spans="1:44" x14ac:dyDescent="0.25">
      <c r="A42">
        <v>17.193331607093569</v>
      </c>
      <c r="C42">
        <v>13.981189588055713</v>
      </c>
      <c r="E42">
        <f t="shared" si="0"/>
        <v>13.981189588055713</v>
      </c>
      <c r="O42" s="2">
        <v>7.6953027882687328</v>
      </c>
      <c r="P42" s="2">
        <v>48</v>
      </c>
      <c r="AE42">
        <f t="shared" si="2"/>
        <v>0.59759721847545333</v>
      </c>
      <c r="AI42" s="2">
        <v>2.8970456890084746</v>
      </c>
      <c r="AJ42" s="2">
        <v>2</v>
      </c>
      <c r="AR42">
        <f t="shared" si="1"/>
        <v>0.33055704178705436</v>
      </c>
    </row>
    <row r="43" spans="1:44" x14ac:dyDescent="0.25">
      <c r="A43">
        <v>6.1088421918684617</v>
      </c>
      <c r="C43">
        <v>1.6515450826846063</v>
      </c>
      <c r="E43">
        <f t="shared" si="0"/>
        <v>1.6515450826846063</v>
      </c>
      <c r="O43" s="2">
        <v>9.6162676748010032</v>
      </c>
      <c r="P43" s="2">
        <v>51</v>
      </c>
      <c r="AE43">
        <f t="shared" si="2"/>
        <v>-1.0934384079111079</v>
      </c>
      <c r="AI43" s="2">
        <v>3.1605098998986261</v>
      </c>
      <c r="AJ43" s="2">
        <v>1</v>
      </c>
      <c r="AR43">
        <f t="shared" si="1"/>
        <v>3.8808665470045314E-2</v>
      </c>
    </row>
    <row r="44" spans="1:44" x14ac:dyDescent="0.25">
      <c r="A44">
        <v>1.7708707875572145</v>
      </c>
      <c r="C44">
        <v>17.592895366949961</v>
      </c>
      <c r="E44">
        <f t="shared" si="0"/>
        <v>17.592895366949961</v>
      </c>
      <c r="O44" s="2">
        <v>11.537232561333274</v>
      </c>
      <c r="P44" s="2">
        <v>54</v>
      </c>
      <c r="AE44">
        <f t="shared" si="2"/>
        <v>1.0929499548398964</v>
      </c>
      <c r="AI44" s="2">
        <v>3.4239741107887776</v>
      </c>
      <c r="AJ44" s="2">
        <v>2</v>
      </c>
      <c r="AR44">
        <f t="shared" si="1"/>
        <v>0.41601849173138433</v>
      </c>
    </row>
    <row r="45" spans="1:44" x14ac:dyDescent="0.25">
      <c r="A45">
        <v>1.4679863144992851</v>
      </c>
      <c r="C45">
        <v>10.008891897276044</v>
      </c>
      <c r="E45">
        <f t="shared" si="0"/>
        <v>10.008891897276044</v>
      </c>
      <c r="O45" s="2">
        <v>13.458197447865546</v>
      </c>
      <c r="P45" s="2">
        <v>35</v>
      </c>
      <c r="AE45">
        <f t="shared" si="2"/>
        <v>5.2788573684821816E-2</v>
      </c>
      <c r="AI45" s="2">
        <v>3.6874383216789282</v>
      </c>
      <c r="AJ45" s="2">
        <v>0</v>
      </c>
      <c r="AR45">
        <f t="shared" si="1"/>
        <v>0.23656313944640525</v>
      </c>
    </row>
    <row r="46" spans="1:44" x14ac:dyDescent="0.25">
      <c r="A46">
        <v>16.879192137101199</v>
      </c>
      <c r="C46">
        <v>5.0879912325472105</v>
      </c>
      <c r="E46">
        <f t="shared" si="0"/>
        <v>5.0879912325472105</v>
      </c>
      <c r="O46" s="2">
        <v>15.379162334397817</v>
      </c>
      <c r="P46" s="2">
        <v>19</v>
      </c>
      <c r="AE46">
        <f t="shared" si="2"/>
        <v>-0.62212288336008703</v>
      </c>
      <c r="AI46" s="2">
        <v>3.9509025325690796</v>
      </c>
      <c r="AJ46" s="2">
        <v>0</v>
      </c>
      <c r="AR46">
        <f t="shared" si="1"/>
        <v>0.12012306055146908</v>
      </c>
    </row>
    <row r="47" spans="1:44" x14ac:dyDescent="0.25">
      <c r="A47">
        <v>18.399799066362903</v>
      </c>
      <c r="C47">
        <v>11.749141797015909</v>
      </c>
      <c r="E47">
        <f t="shared" si="0"/>
        <v>11.749141797015909</v>
      </c>
      <c r="O47" s="2">
        <v>17.300127220930086</v>
      </c>
      <c r="P47" s="2">
        <v>23</v>
      </c>
      <c r="AE47">
        <f t="shared" si="2"/>
        <v>0.29146735943519642</v>
      </c>
      <c r="AI47" s="2">
        <v>4.2143667434592311</v>
      </c>
      <c r="AJ47" s="2">
        <v>0</v>
      </c>
      <c r="AR47">
        <f t="shared" si="1"/>
        <v>0.27774154344773472</v>
      </c>
    </row>
    <row r="48" spans="1:44" ht="15.75" thickBot="1" x14ac:dyDescent="0.3">
      <c r="A48">
        <v>1.73087575804675</v>
      </c>
      <c r="C48">
        <v>5.4516754264186602</v>
      </c>
      <c r="E48">
        <f t="shared" si="0"/>
        <v>5.4516754264186602</v>
      </c>
      <c r="O48" s="2">
        <v>19.221092107462358</v>
      </c>
      <c r="P48" s="2">
        <v>17</v>
      </c>
      <c r="AE48">
        <f t="shared" si="2"/>
        <v>-0.57224286221897569</v>
      </c>
      <c r="AI48" s="3" t="s">
        <v>22</v>
      </c>
      <c r="AJ48" s="3">
        <v>1</v>
      </c>
      <c r="AR48">
        <f t="shared" si="1"/>
        <v>0.12872868360961434</v>
      </c>
    </row>
    <row r="49" spans="1:44" x14ac:dyDescent="0.25">
      <c r="A49">
        <v>35.694477466866374</v>
      </c>
      <c r="C49">
        <v>-4.2870005725417286</v>
      </c>
      <c r="E49">
        <f t="shared" si="0"/>
        <v>4.2870005725417286</v>
      </c>
      <c r="O49" s="2">
        <v>21.142056993994629</v>
      </c>
      <c r="P49" s="2">
        <v>20</v>
      </c>
      <c r="AE49">
        <f t="shared" si="2"/>
        <v>-0.73198036886034612</v>
      </c>
      <c r="AR49">
        <f t="shared" si="1"/>
        <v>0.10116973838553896</v>
      </c>
    </row>
    <row r="50" spans="1:44" x14ac:dyDescent="0.25">
      <c r="A50">
        <v>12.938419806421734</v>
      </c>
      <c r="C50">
        <v>1.803339748410508</v>
      </c>
      <c r="E50">
        <f t="shared" si="0"/>
        <v>1.803339748410508</v>
      </c>
      <c r="O50" s="2">
        <v>23.0630218805269</v>
      </c>
      <c r="P50" s="2">
        <v>11</v>
      </c>
      <c r="AE50">
        <f t="shared" si="2"/>
        <v>-1.0726194631697477</v>
      </c>
      <c r="AR50">
        <f t="shared" si="1"/>
        <v>4.2400484134389009E-2</v>
      </c>
    </row>
    <row r="51" spans="1:44" x14ac:dyDescent="0.25">
      <c r="A51">
        <v>-15.900429368950427</v>
      </c>
      <c r="C51">
        <v>3.7025238472851925</v>
      </c>
      <c r="E51">
        <f t="shared" si="0"/>
        <v>3.7025238472851925</v>
      </c>
      <c r="O51" s="2">
        <v>24.983986767059172</v>
      </c>
      <c r="P51" s="2">
        <v>10</v>
      </c>
      <c r="AE51">
        <f t="shared" si="2"/>
        <v>-0.81214253126267599</v>
      </c>
      <c r="AR51">
        <f t="shared" si="1"/>
        <v>8.7339644945748848E-2</v>
      </c>
    </row>
    <row r="52" spans="1:44" x14ac:dyDescent="0.25">
      <c r="A52">
        <v>-0.76966623764019459</v>
      </c>
      <c r="C52">
        <v>8.665647803543834</v>
      </c>
      <c r="E52">
        <f t="shared" si="0"/>
        <v>8.665647803543834</v>
      </c>
      <c r="O52" s="2">
        <v>26.904951653591443</v>
      </c>
      <c r="P52" s="2">
        <v>11</v>
      </c>
      <c r="AE52">
        <f t="shared" si="2"/>
        <v>-0.13144006457356305</v>
      </c>
      <c r="AR52">
        <f t="shared" si="1"/>
        <v>0.20477882618635404</v>
      </c>
    </row>
    <row r="53" spans="1:44" x14ac:dyDescent="0.25">
      <c r="A53">
        <v>14.741765901097097</v>
      </c>
      <c r="C53">
        <v>28.947300072293729</v>
      </c>
      <c r="E53">
        <f t="shared" si="0"/>
        <v>28.947300072293729</v>
      </c>
      <c r="O53" s="2">
        <v>28.825916540123714</v>
      </c>
      <c r="P53" s="2">
        <v>5</v>
      </c>
      <c r="AE53">
        <f t="shared" si="2"/>
        <v>2.6502294745197381</v>
      </c>
      <c r="AR53">
        <f t="shared" si="1"/>
        <v>0.68469040156521499</v>
      </c>
    </row>
    <row r="54" spans="1:44" x14ac:dyDescent="0.25">
      <c r="A54">
        <v>12.867683855991345</v>
      </c>
      <c r="C54">
        <v>16.519555194652639</v>
      </c>
      <c r="E54">
        <f t="shared" si="0"/>
        <v>16.519555194652639</v>
      </c>
      <c r="O54" s="2">
        <v>30.746881426655985</v>
      </c>
      <c r="P54" s="2">
        <v>2</v>
      </c>
      <c r="AE54">
        <f t="shared" si="2"/>
        <v>0.9457391840998336</v>
      </c>
      <c r="AR54">
        <f t="shared" si="1"/>
        <v>0.39062073980373158</v>
      </c>
    </row>
    <row r="55" spans="1:44" x14ac:dyDescent="0.25">
      <c r="A55">
        <v>14.284017217694782</v>
      </c>
      <c r="C55">
        <v>25.755428416421637</v>
      </c>
      <c r="E55">
        <f t="shared" si="0"/>
        <v>25.755428416421637</v>
      </c>
      <c r="O55" s="2">
        <v>32.667846313188257</v>
      </c>
      <c r="P55" s="2">
        <v>1</v>
      </c>
      <c r="AE55">
        <f t="shared" si="2"/>
        <v>2.2124578353956861</v>
      </c>
      <c r="AR55">
        <f t="shared" si="1"/>
        <v>0.60916321401270279</v>
      </c>
    </row>
    <row r="56" spans="1:44" x14ac:dyDescent="0.25">
      <c r="A56">
        <v>5.2964815242448822</v>
      </c>
      <c r="C56">
        <v>-10.242280930280685</v>
      </c>
      <c r="E56">
        <f t="shared" si="0"/>
        <v>10.242280930280685</v>
      </c>
      <c r="O56" s="2">
        <v>34.588811199720524</v>
      </c>
      <c r="P56" s="2">
        <v>2</v>
      </c>
      <c r="AE56">
        <f t="shared" si="2"/>
        <v>8.479835056418196E-2</v>
      </c>
      <c r="AR56">
        <f t="shared" si="1"/>
        <v>0.24208567267107681</v>
      </c>
    </row>
    <row r="57" spans="1:44" x14ac:dyDescent="0.25">
      <c r="A57">
        <v>4.6144741847529076</v>
      </c>
      <c r="C57">
        <v>21.396356735029258</v>
      </c>
      <c r="E57">
        <f t="shared" si="0"/>
        <v>21.396356735029258</v>
      </c>
      <c r="O57" s="2">
        <v>36.509776086252799</v>
      </c>
      <c r="P57" s="2">
        <v>0</v>
      </c>
      <c r="AE57">
        <f t="shared" si="2"/>
        <v>1.6146023572433241</v>
      </c>
      <c r="AR57">
        <f t="shared" si="1"/>
        <v>0.50601732973828806</v>
      </c>
    </row>
    <row r="58" spans="1:44" x14ac:dyDescent="0.25">
      <c r="A58">
        <v>-12.181050786050037</v>
      </c>
      <c r="C58">
        <v>-6.6669208334060386</v>
      </c>
      <c r="E58">
        <f t="shared" si="0"/>
        <v>6.6669208334060386</v>
      </c>
      <c r="O58" s="2">
        <v>38.430740972785067</v>
      </c>
      <c r="P58" s="2">
        <v>0</v>
      </c>
      <c r="AE58">
        <f t="shared" si="2"/>
        <v>-0.40556950216199494</v>
      </c>
      <c r="AR58">
        <f t="shared" si="1"/>
        <v>0.15748424701298913</v>
      </c>
    </row>
    <row r="59" spans="1:44" x14ac:dyDescent="0.25">
      <c r="A59">
        <v>9.4969145922805183</v>
      </c>
      <c r="C59">
        <v>6.3474026521435007</v>
      </c>
      <c r="E59">
        <f t="shared" si="0"/>
        <v>6.3474026521435007</v>
      </c>
      <c r="O59" s="2">
        <v>40.351705859317342</v>
      </c>
      <c r="P59" s="2">
        <v>0</v>
      </c>
      <c r="AE59">
        <f t="shared" si="2"/>
        <v>-0.44939206554229472</v>
      </c>
      <c r="AR59">
        <f t="shared" si="1"/>
        <v>0.14992369564863306</v>
      </c>
    </row>
    <row r="60" spans="1:44" ht="15.75" thickBot="1" x14ac:dyDescent="0.3">
      <c r="A60">
        <v>1.3929984763381071</v>
      </c>
      <c r="C60">
        <v>9.9893832359230146</v>
      </c>
      <c r="E60">
        <f t="shared" si="0"/>
        <v>9.9893832359230146</v>
      </c>
      <c r="O60" s="3"/>
      <c r="P60" s="3"/>
      <c r="AE60">
        <f t="shared" si="2"/>
        <v>5.0112921409793773E-2</v>
      </c>
      <c r="AR60">
        <f t="shared" si="1"/>
        <v>0.23610151865341439</v>
      </c>
    </row>
    <row r="61" spans="1:44" x14ac:dyDescent="0.25">
      <c r="A61">
        <v>3.1950940157985315</v>
      </c>
      <c r="C61">
        <v>6.5510385158704594</v>
      </c>
      <c r="E61">
        <f t="shared" si="0"/>
        <v>6.5510385158704594</v>
      </c>
      <c r="AE61">
        <f t="shared" si="2"/>
        <v>-0.42146299587428637</v>
      </c>
      <c r="AR61">
        <f t="shared" si="1"/>
        <v>0.15474219893770769</v>
      </c>
    </row>
    <row r="62" spans="1:44" x14ac:dyDescent="0.25">
      <c r="A62">
        <v>29.87753125326708</v>
      </c>
      <c r="C62">
        <v>-14.048152459319681</v>
      </c>
      <c r="E62">
        <f t="shared" si="0"/>
        <v>14.048152459319681</v>
      </c>
      <c r="AE62">
        <f t="shared" si="2"/>
        <v>0.60678131140718206</v>
      </c>
      <c r="AR62">
        <f t="shared" si="1"/>
        <v>0.33214154075263908</v>
      </c>
    </row>
    <row r="63" spans="1:44" x14ac:dyDescent="0.25">
      <c r="A63">
        <v>-9.1189185493858531</v>
      </c>
      <c r="C63">
        <v>-10.242280930280685</v>
      </c>
      <c r="E63">
        <f t="shared" si="0"/>
        <v>10.242280930280685</v>
      </c>
      <c r="AE63">
        <f t="shared" si="2"/>
        <v>8.479835056418196E-2</v>
      </c>
      <c r="AR63">
        <f t="shared" si="1"/>
        <v>0.24208567267107681</v>
      </c>
    </row>
    <row r="64" spans="1:44" x14ac:dyDescent="0.25">
      <c r="A64">
        <v>2.150937254744349</v>
      </c>
      <c r="C64">
        <v>4.5690676617668942</v>
      </c>
      <c r="E64">
        <f t="shared" si="0"/>
        <v>4.5690676617668942</v>
      </c>
      <c r="AE64">
        <f t="shared" si="2"/>
        <v>-0.69329429833307954</v>
      </c>
      <c r="AR64">
        <f t="shared" si="1"/>
        <v>0.10784410886378414</v>
      </c>
    </row>
    <row r="65" spans="1:44" x14ac:dyDescent="0.25">
      <c r="A65">
        <v>42.272670745849609</v>
      </c>
      <c r="C65">
        <v>27.213348423363641</v>
      </c>
      <c r="E65">
        <f t="shared" si="0"/>
        <v>27.213348423363641</v>
      </c>
      <c r="AE65">
        <f t="shared" si="2"/>
        <v>2.4124145065784344</v>
      </c>
      <c r="AR65">
        <f t="shared" si="1"/>
        <v>0.6436610289853989</v>
      </c>
    </row>
    <row r="66" spans="1:44" x14ac:dyDescent="0.25">
      <c r="A66">
        <v>-5.5460823003086261</v>
      </c>
      <c r="C66">
        <v>12.13360794482287</v>
      </c>
      <c r="E66">
        <f t="shared" si="0"/>
        <v>12.13360794482287</v>
      </c>
      <c r="AE66">
        <f t="shared" si="2"/>
        <v>0.34419766749865699</v>
      </c>
      <c r="AR66">
        <f t="shared" si="1"/>
        <v>0.28683891639491688</v>
      </c>
    </row>
    <row r="67" spans="1:44" x14ac:dyDescent="0.25">
      <c r="A67">
        <v>28.088100427528843</v>
      </c>
      <c r="C67">
        <v>13.377091838454362</v>
      </c>
      <c r="E67">
        <f t="shared" ref="E67:E130" si="3">ABS(C67)</f>
        <v>13.377091838454362</v>
      </c>
      <c r="AE67">
        <f t="shared" si="2"/>
        <v>0.51474399298701212</v>
      </c>
      <c r="AR67">
        <f t="shared" ref="AR67:AR130" si="4">(AE67 - $AJ$13)/($AJ$14 - $AJ$13)</f>
        <v>0.31626266878171944</v>
      </c>
    </row>
    <row r="68" spans="1:44" x14ac:dyDescent="0.25">
      <c r="A68">
        <v>11.57490534952376</v>
      </c>
      <c r="C68">
        <v>4.6565610520774499</v>
      </c>
      <c r="E68">
        <f t="shared" si="3"/>
        <v>4.6565610520774499</v>
      </c>
      <c r="AE68">
        <f t="shared" ref="AE68:AE131" si="5">STANDARDIZE(E68,$M$4,$M$8)</f>
        <v>-0.68129440328143864</v>
      </c>
      <c r="AR68">
        <f t="shared" si="4"/>
        <v>0.10991440817780371</v>
      </c>
    </row>
    <row r="69" spans="1:44" x14ac:dyDescent="0.25">
      <c r="A69">
        <v>15.56592726247618</v>
      </c>
      <c r="C69">
        <v>14.284017217694782</v>
      </c>
      <c r="E69">
        <f t="shared" si="3"/>
        <v>14.284017217694782</v>
      </c>
      <c r="AE69">
        <f t="shared" si="5"/>
        <v>0.63913063901736589</v>
      </c>
      <c r="AR69">
        <f t="shared" si="4"/>
        <v>0.33772265546007141</v>
      </c>
    </row>
    <row r="70" spans="1:44" x14ac:dyDescent="0.25">
      <c r="A70">
        <v>-2.2021431303001009</v>
      </c>
      <c r="C70">
        <v>10.638512341945898</v>
      </c>
      <c r="E70">
        <f t="shared" si="3"/>
        <v>10.638512341945898</v>
      </c>
      <c r="AE70">
        <f t="shared" si="5"/>
        <v>0.13914228830929917</v>
      </c>
      <c r="AR70">
        <f t="shared" si="4"/>
        <v>0.25146143942159127</v>
      </c>
    </row>
    <row r="71" spans="1:44" x14ac:dyDescent="0.25">
      <c r="A71">
        <v>13.586912266153377</v>
      </c>
      <c r="C71">
        <v>-21.274087864905596</v>
      </c>
      <c r="E71">
        <f t="shared" si="3"/>
        <v>21.274087864905596</v>
      </c>
      <c r="AE71">
        <f t="shared" si="5"/>
        <v>1.5978329349548654</v>
      </c>
      <c r="AR71">
        <f t="shared" si="4"/>
        <v>0.50312416081381872</v>
      </c>
    </row>
    <row r="72" spans="1:44" x14ac:dyDescent="0.25">
      <c r="A72">
        <v>2.9454377201618627</v>
      </c>
      <c r="C72">
        <v>27.065282685915008</v>
      </c>
      <c r="E72">
        <f t="shared" si="3"/>
        <v>27.065282685915008</v>
      </c>
      <c r="AE72">
        <f t="shared" si="5"/>
        <v>2.3921069918756577</v>
      </c>
      <c r="AR72">
        <f t="shared" si="4"/>
        <v>0.64015744553090426</v>
      </c>
    </row>
    <row r="73" spans="1:44" x14ac:dyDescent="0.25">
      <c r="A73">
        <v>-1.5977384262369014</v>
      </c>
      <c r="C73">
        <v>15.182393346738536</v>
      </c>
      <c r="E73">
        <f t="shared" si="3"/>
        <v>15.182393346738536</v>
      </c>
      <c r="AE73">
        <f t="shared" si="5"/>
        <v>0.76234473812999182</v>
      </c>
      <c r="AR73">
        <f t="shared" si="4"/>
        <v>0.35898034677925733</v>
      </c>
    </row>
    <row r="74" spans="1:44" x14ac:dyDescent="0.25">
      <c r="A74">
        <v>15.906442078819964</v>
      </c>
      <c r="C74">
        <v>5.1907982398988679</v>
      </c>
      <c r="E74">
        <f t="shared" si="3"/>
        <v>5.1907982398988679</v>
      </c>
      <c r="AE74">
        <f t="shared" si="5"/>
        <v>-0.60802269482682447</v>
      </c>
      <c r="AR74">
        <f t="shared" si="4"/>
        <v>0.1225557160473993</v>
      </c>
    </row>
    <row r="75" spans="1:44" x14ac:dyDescent="0.25">
      <c r="A75">
        <v>5.4785396261722781</v>
      </c>
      <c r="C75">
        <v>20.808050087187439</v>
      </c>
      <c r="E75">
        <f t="shared" si="3"/>
        <v>20.808050087187439</v>
      </c>
      <c r="AE75">
        <f t="shared" si="5"/>
        <v>1.53391491322925</v>
      </c>
      <c r="AR75">
        <f t="shared" si="4"/>
        <v>0.49209661132588089</v>
      </c>
    </row>
    <row r="76" spans="1:44" x14ac:dyDescent="0.25">
      <c r="A76">
        <v>6.4303258315776475</v>
      </c>
      <c r="C76">
        <v>6.9404273037507664</v>
      </c>
      <c r="E76">
        <f t="shared" si="3"/>
        <v>6.9404273037507664</v>
      </c>
      <c r="AE76">
        <f t="shared" si="5"/>
        <v>-0.36805753779037875</v>
      </c>
      <c r="AR76">
        <f t="shared" si="4"/>
        <v>0.16395605312228206</v>
      </c>
    </row>
    <row r="77" spans="1:44" x14ac:dyDescent="0.25">
      <c r="A77">
        <v>3.9487354317388963</v>
      </c>
      <c r="C77">
        <v>1.6412450551870279</v>
      </c>
      <c r="E77">
        <f t="shared" si="3"/>
        <v>1.6412450551870279</v>
      </c>
      <c r="AE77">
        <f t="shared" si="5"/>
        <v>-1.0948510774689024</v>
      </c>
      <c r="AR77">
        <f t="shared" si="4"/>
        <v>3.8564942603815877E-2</v>
      </c>
    </row>
    <row r="78" spans="1:44" x14ac:dyDescent="0.25">
      <c r="A78">
        <v>-5.5863956529647112</v>
      </c>
      <c r="C78">
        <v>-1.3213202490005642</v>
      </c>
      <c r="E78">
        <f t="shared" si="3"/>
        <v>1.3213202490005642</v>
      </c>
      <c r="AE78">
        <f t="shared" si="5"/>
        <v>-1.1387294102781291</v>
      </c>
      <c r="AR78">
        <f t="shared" si="4"/>
        <v>3.0994769537773744E-2</v>
      </c>
    </row>
    <row r="79" spans="1:44" x14ac:dyDescent="0.25">
      <c r="A79">
        <v>6.6699890541785862</v>
      </c>
      <c r="C79">
        <v>20.246437108842656</v>
      </c>
      <c r="E79">
        <f t="shared" si="3"/>
        <v>20.246437108842656</v>
      </c>
      <c r="AE79">
        <f t="shared" si="5"/>
        <v>1.4568885598572305</v>
      </c>
      <c r="AR79">
        <f t="shared" si="4"/>
        <v>0.47880752789129588</v>
      </c>
    </row>
    <row r="80" spans="1:44" x14ac:dyDescent="0.25">
      <c r="A80">
        <v>-1.5144287115545012</v>
      </c>
      <c r="C80">
        <v>8.3822037797363009</v>
      </c>
      <c r="E80">
        <f t="shared" si="3"/>
        <v>8.3822037797363009</v>
      </c>
      <c r="AE80">
        <f t="shared" si="5"/>
        <v>-0.17031498445759521</v>
      </c>
      <c r="AR80">
        <f t="shared" si="4"/>
        <v>0.19807187419868041</v>
      </c>
    </row>
    <row r="81" spans="1:44" x14ac:dyDescent="0.25">
      <c r="A81">
        <v>3.8513853925978765</v>
      </c>
      <c r="C81">
        <v>5.4145111991674639</v>
      </c>
      <c r="E81">
        <f t="shared" si="3"/>
        <v>5.4145111991674639</v>
      </c>
      <c r="AE81">
        <f t="shared" si="5"/>
        <v>-0.57734001098766263</v>
      </c>
      <c r="AR81">
        <f t="shared" si="4"/>
        <v>0.12784929061877104</v>
      </c>
    </row>
    <row r="82" spans="1:44" x14ac:dyDescent="0.25">
      <c r="A82">
        <v>-6.9298557516885921</v>
      </c>
      <c r="C82">
        <v>-2.2434341897605918</v>
      </c>
      <c r="E82">
        <f t="shared" si="3"/>
        <v>2.2434341897605918</v>
      </c>
      <c r="AE82">
        <f t="shared" si="5"/>
        <v>-1.0122596223833014</v>
      </c>
      <c r="AR82">
        <f t="shared" si="4"/>
        <v>5.2814153290389021E-2</v>
      </c>
    </row>
    <row r="83" spans="1:44" x14ac:dyDescent="0.25">
      <c r="A83">
        <v>22.446231944020838</v>
      </c>
      <c r="C83">
        <v>2.1500391287263483</v>
      </c>
      <c r="E83">
        <f t="shared" si="3"/>
        <v>2.1500391287263483</v>
      </c>
      <c r="AE83">
        <f t="shared" si="5"/>
        <v>-1.025068943484867</v>
      </c>
      <c r="AR83">
        <f t="shared" si="4"/>
        <v>5.0604206572063229E-2</v>
      </c>
    </row>
    <row r="84" spans="1:44" x14ac:dyDescent="0.25">
      <c r="A84">
        <v>7.5848838807432912</v>
      </c>
      <c r="C84">
        <v>15.978803751029773</v>
      </c>
      <c r="E84">
        <f t="shared" si="3"/>
        <v>15.978803751029773</v>
      </c>
      <c r="AE84">
        <f t="shared" si="5"/>
        <v>0.87157403231562092</v>
      </c>
      <c r="AR84">
        <f t="shared" si="4"/>
        <v>0.37782528932668624</v>
      </c>
    </row>
    <row r="85" spans="1:44" x14ac:dyDescent="0.25">
      <c r="A85">
        <v>-3.4677959572873078</v>
      </c>
      <c r="C85">
        <v>2.0480620352900587</v>
      </c>
      <c r="E85">
        <f t="shared" si="3"/>
        <v>2.0480620352900587</v>
      </c>
      <c r="AE85">
        <f t="shared" si="5"/>
        <v>-1.0390553076497862</v>
      </c>
      <c r="AR85">
        <f t="shared" si="4"/>
        <v>4.819118879052018E-2</v>
      </c>
    </row>
    <row r="86" spans="1:44" x14ac:dyDescent="0.25">
      <c r="A86">
        <v>11.081640898017213</v>
      </c>
      <c r="C86">
        <v>16.824849828670267</v>
      </c>
      <c r="E86">
        <f t="shared" si="3"/>
        <v>16.824849828670267</v>
      </c>
      <c r="AE86">
        <f t="shared" si="5"/>
        <v>0.98761095927093101</v>
      </c>
      <c r="AR86">
        <f t="shared" si="4"/>
        <v>0.39784472860033782</v>
      </c>
    </row>
    <row r="87" spans="1:44" x14ac:dyDescent="0.25">
      <c r="A87">
        <v>1.6496692498621996</v>
      </c>
      <c r="C87">
        <v>-1.136283551924862</v>
      </c>
      <c r="E87">
        <f t="shared" si="3"/>
        <v>1.136283551924862</v>
      </c>
      <c r="AE87">
        <f t="shared" si="5"/>
        <v>-1.1641075667049103</v>
      </c>
      <c r="AR87">
        <f t="shared" si="4"/>
        <v>2.6616366258799911E-2</v>
      </c>
    </row>
    <row r="88" spans="1:44" x14ac:dyDescent="0.25">
      <c r="A88">
        <v>1.9610688670654781</v>
      </c>
      <c r="C88">
        <v>20.352370504231658</v>
      </c>
      <c r="E88">
        <f t="shared" si="3"/>
        <v>20.352370504231658</v>
      </c>
      <c r="AE88">
        <f t="shared" si="5"/>
        <v>1.4714175388191837</v>
      </c>
      <c r="AR88">
        <f t="shared" si="4"/>
        <v>0.48131416107841057</v>
      </c>
    </row>
    <row r="89" spans="1:44" x14ac:dyDescent="0.25">
      <c r="A89">
        <v>29.107734937686473</v>
      </c>
      <c r="C89">
        <v>15.409994395857211</v>
      </c>
      <c r="E89">
        <f t="shared" si="3"/>
        <v>15.409994395857211</v>
      </c>
      <c r="AE89">
        <f t="shared" si="5"/>
        <v>0.79356068133865232</v>
      </c>
      <c r="AR89">
        <f t="shared" si="4"/>
        <v>0.36436592269748391</v>
      </c>
    </row>
    <row r="90" spans="1:44" x14ac:dyDescent="0.25">
      <c r="A90">
        <v>7.8336079443106428</v>
      </c>
      <c r="C90">
        <v>1.3453409539652057</v>
      </c>
      <c r="E90">
        <f t="shared" si="3"/>
        <v>1.3453409539652057</v>
      </c>
      <c r="AE90">
        <f t="shared" si="5"/>
        <v>-1.1354349221160063</v>
      </c>
      <c r="AR90">
        <f t="shared" si="4"/>
        <v>3.156315589054904E-2</v>
      </c>
    </row>
    <row r="91" spans="1:44" x14ac:dyDescent="0.25">
      <c r="A91">
        <v>25.470392776886001</v>
      </c>
      <c r="C91">
        <v>11.449599716986995</v>
      </c>
      <c r="E91">
        <f t="shared" si="3"/>
        <v>11.449599716986995</v>
      </c>
      <c r="AE91">
        <f t="shared" si="5"/>
        <v>0.25038455865288933</v>
      </c>
      <c r="AR91">
        <f t="shared" si="4"/>
        <v>0.27065367360290782</v>
      </c>
    </row>
    <row r="92" spans="1:44" x14ac:dyDescent="0.25">
      <c r="A92">
        <v>3.1090558170108125</v>
      </c>
      <c r="C92">
        <v>-2.8504536910913885</v>
      </c>
      <c r="E92">
        <f t="shared" si="3"/>
        <v>2.8504536910913885</v>
      </c>
      <c r="AE92">
        <f t="shared" si="5"/>
        <v>-0.92900567274877488</v>
      </c>
      <c r="AR92">
        <f t="shared" si="4"/>
        <v>6.7177661810758169E-2</v>
      </c>
    </row>
    <row r="93" spans="1:44" x14ac:dyDescent="0.25">
      <c r="A93">
        <v>1.4679863144992851</v>
      </c>
      <c r="C93">
        <v>-12.372317521832883</v>
      </c>
      <c r="E93">
        <f t="shared" si="3"/>
        <v>12.372317521832883</v>
      </c>
      <c r="AE93">
        <f t="shared" si="5"/>
        <v>0.37693716772575203</v>
      </c>
      <c r="AR93">
        <f t="shared" si="4"/>
        <v>0.29248734619949501</v>
      </c>
    </row>
    <row r="94" spans="1:44" x14ac:dyDescent="0.25">
      <c r="A94">
        <v>-2.6379047792870551</v>
      </c>
      <c r="C94">
        <v>1.3453409539652057</v>
      </c>
      <c r="E94">
        <f t="shared" si="3"/>
        <v>1.3453409539652057</v>
      </c>
      <c r="AE94">
        <f t="shared" si="5"/>
        <v>-1.1354349221160063</v>
      </c>
      <c r="AR94">
        <f t="shared" si="4"/>
        <v>3.156315589054904E-2</v>
      </c>
    </row>
    <row r="95" spans="1:44" x14ac:dyDescent="0.25">
      <c r="A95">
        <v>11.540674242685782</v>
      </c>
      <c r="C95">
        <v>18.635221769916825</v>
      </c>
      <c r="E95">
        <f t="shared" si="3"/>
        <v>18.635221769916825</v>
      </c>
      <c r="AE95">
        <f t="shared" si="5"/>
        <v>1.2359071245273505</v>
      </c>
      <c r="AR95">
        <f t="shared" si="4"/>
        <v>0.44068238496248746</v>
      </c>
    </row>
    <row r="96" spans="1:44" x14ac:dyDescent="0.25">
      <c r="A96">
        <v>0.95848738256609067</v>
      </c>
      <c r="C96">
        <v>-4.6209215522976592</v>
      </c>
      <c r="E96">
        <f t="shared" si="3"/>
        <v>4.6209215522976592</v>
      </c>
      <c r="AE96">
        <f t="shared" si="5"/>
        <v>-0.68618243260036726</v>
      </c>
      <c r="AR96">
        <f t="shared" si="4"/>
        <v>0.10907109382360844</v>
      </c>
    </row>
    <row r="97" spans="1:44" x14ac:dyDescent="0.25">
      <c r="A97">
        <v>-12.92674549203366</v>
      </c>
      <c r="C97">
        <v>7.6989345163456164</v>
      </c>
      <c r="E97">
        <f t="shared" si="3"/>
        <v>7.6989345163456164</v>
      </c>
      <c r="AE97">
        <f t="shared" si="5"/>
        <v>-0.26402674283839966</v>
      </c>
      <c r="AR97">
        <f t="shared" si="4"/>
        <v>0.18190411704276957</v>
      </c>
    </row>
    <row r="98" spans="1:44" x14ac:dyDescent="0.25">
      <c r="A98">
        <v>20.948294170200825</v>
      </c>
      <c r="C98">
        <v>5.2194245856371708</v>
      </c>
      <c r="E98">
        <f t="shared" si="3"/>
        <v>5.2194245856371708</v>
      </c>
      <c r="AE98">
        <f t="shared" si="5"/>
        <v>-0.60409653373794303</v>
      </c>
      <c r="AR98">
        <f t="shared" si="4"/>
        <v>0.12323308268886256</v>
      </c>
    </row>
    <row r="99" spans="1:44" x14ac:dyDescent="0.25">
      <c r="A99">
        <v>-0.8022943600662984</v>
      </c>
      <c r="C99">
        <v>2.447034623590298</v>
      </c>
      <c r="E99">
        <f t="shared" si="3"/>
        <v>2.447034623590298</v>
      </c>
      <c r="AE99">
        <f t="shared" si="5"/>
        <v>-0.9843354119972022</v>
      </c>
      <c r="AR99">
        <f t="shared" si="4"/>
        <v>5.7631818224798077E-2</v>
      </c>
    </row>
    <row r="100" spans="1:44" x14ac:dyDescent="0.25">
      <c r="A100">
        <v>1.0044737084244844</v>
      </c>
      <c r="C100">
        <v>15.388871381408535</v>
      </c>
      <c r="E100">
        <f t="shared" si="3"/>
        <v>15.388871381408535</v>
      </c>
      <c r="AE100">
        <f t="shared" si="5"/>
        <v>0.79066361727862777</v>
      </c>
      <c r="AR100">
        <f t="shared" si="4"/>
        <v>0.36386610251486323</v>
      </c>
    </row>
    <row r="101" spans="1:44" x14ac:dyDescent="0.25">
      <c r="A101">
        <v>11.749141797015909</v>
      </c>
      <c r="C101">
        <v>18.497524272068404</v>
      </c>
      <c r="E101">
        <f t="shared" si="3"/>
        <v>18.497524272068404</v>
      </c>
      <c r="AE101">
        <f t="shared" si="5"/>
        <v>1.217021634809903</v>
      </c>
      <c r="AR101">
        <f t="shared" si="4"/>
        <v>0.43742413843293904</v>
      </c>
    </row>
    <row r="102" spans="1:44" x14ac:dyDescent="0.25">
      <c r="A102">
        <v>3.7276713757892139</v>
      </c>
      <c r="C102">
        <v>24.203057384700514</v>
      </c>
      <c r="E102">
        <f t="shared" si="3"/>
        <v>24.203057384700514</v>
      </c>
      <c r="AE102">
        <f t="shared" si="5"/>
        <v>1.9995470155527202</v>
      </c>
      <c r="AR102">
        <f t="shared" si="4"/>
        <v>0.57243046573687839</v>
      </c>
    </row>
    <row r="103" spans="1:44" x14ac:dyDescent="0.25">
      <c r="A103">
        <v>2.9097741591685917</v>
      </c>
      <c r="C103">
        <v>25.527008822071366</v>
      </c>
      <c r="E103">
        <f t="shared" si="3"/>
        <v>25.527008822071366</v>
      </c>
      <c r="AE103">
        <f t="shared" si="5"/>
        <v>2.1811296270566047</v>
      </c>
      <c r="AR103">
        <f t="shared" si="4"/>
        <v>0.60375826938987509</v>
      </c>
    </row>
    <row r="104" spans="1:44" x14ac:dyDescent="0.25">
      <c r="A104">
        <v>9.794683157640975</v>
      </c>
      <c r="C104">
        <v>12.176149559498299</v>
      </c>
      <c r="E104">
        <f t="shared" si="3"/>
        <v>12.176149559498299</v>
      </c>
      <c r="AE104">
        <f t="shared" si="5"/>
        <v>0.35003233580469134</v>
      </c>
      <c r="AR104">
        <f t="shared" si="4"/>
        <v>0.28784555101459736</v>
      </c>
    </row>
    <row r="105" spans="1:44" x14ac:dyDescent="0.25">
      <c r="A105">
        <v>19.727070159395225</v>
      </c>
      <c r="C105">
        <v>8.9918949217535555</v>
      </c>
      <c r="E105">
        <f t="shared" si="3"/>
        <v>8.9918949217535555</v>
      </c>
      <c r="AE105">
        <f t="shared" si="5"/>
        <v>-8.669461391127882E-2</v>
      </c>
      <c r="AR105">
        <f t="shared" si="4"/>
        <v>0.21249860001878901</v>
      </c>
    </row>
    <row r="106" spans="1:44" x14ac:dyDescent="0.25">
      <c r="A106">
        <v>0.16342985164374113</v>
      </c>
      <c r="C106">
        <v>-1.6597659648978151</v>
      </c>
      <c r="E106">
        <f t="shared" si="3"/>
        <v>1.6597659648978151</v>
      </c>
      <c r="AE106">
        <f t="shared" si="5"/>
        <v>-1.0923108973249911</v>
      </c>
      <c r="AR106">
        <f t="shared" si="4"/>
        <v>3.9003190870721065E-2</v>
      </c>
    </row>
    <row r="107" spans="1:44" x14ac:dyDescent="0.25">
      <c r="A107">
        <v>-1.136283551924862</v>
      </c>
      <c r="C107">
        <v>12.870253178523853</v>
      </c>
      <c r="E107">
        <f t="shared" si="3"/>
        <v>12.870253178523853</v>
      </c>
      <c r="AE107">
        <f t="shared" si="5"/>
        <v>0.4452300479256483</v>
      </c>
      <c r="AR107">
        <f t="shared" si="4"/>
        <v>0.30426967449668557</v>
      </c>
    </row>
    <row r="108" spans="1:44" x14ac:dyDescent="0.25">
      <c r="A108">
        <v>10.012018285313388</v>
      </c>
      <c r="C108">
        <v>-2.8504536910913885</v>
      </c>
      <c r="E108">
        <f t="shared" si="3"/>
        <v>2.8504536910913885</v>
      </c>
      <c r="AE108">
        <f t="shared" si="5"/>
        <v>-0.92900567274877488</v>
      </c>
      <c r="AR108">
        <f t="shared" si="4"/>
        <v>6.7177661810758169E-2</v>
      </c>
    </row>
    <row r="109" spans="1:44" x14ac:dyDescent="0.25">
      <c r="A109">
        <v>4.4381458994466811</v>
      </c>
      <c r="C109">
        <v>-5.3589082906837575</v>
      </c>
      <c r="E109">
        <f t="shared" si="3"/>
        <v>5.3589082906837575</v>
      </c>
      <c r="AE109">
        <f t="shared" si="5"/>
        <v>-0.58496606209851976</v>
      </c>
      <c r="AR109">
        <f t="shared" si="4"/>
        <v>0.12653359508013992</v>
      </c>
    </row>
    <row r="110" spans="1:44" x14ac:dyDescent="0.25">
      <c r="A110">
        <v>-11.179606169927865</v>
      </c>
      <c r="C110">
        <v>-6.8119852383388206</v>
      </c>
      <c r="E110">
        <f t="shared" si="3"/>
        <v>6.8119852383388206</v>
      </c>
      <c r="AE110">
        <f t="shared" si="5"/>
        <v>-0.38567362627076074</v>
      </c>
      <c r="AR110">
        <f t="shared" si="4"/>
        <v>0.16091681188394674</v>
      </c>
    </row>
    <row r="111" spans="1:44" x14ac:dyDescent="0.25">
      <c r="A111">
        <v>12.037974576931447</v>
      </c>
      <c r="C111">
        <v>-5.0158014144399203</v>
      </c>
      <c r="E111">
        <f t="shared" si="3"/>
        <v>5.0158014144399203</v>
      </c>
      <c r="AE111">
        <f t="shared" si="5"/>
        <v>-0.63202386259988708</v>
      </c>
      <c r="AR111">
        <f t="shared" si="4"/>
        <v>0.11841487973488127</v>
      </c>
    </row>
    <row r="112" spans="1:44" x14ac:dyDescent="0.25">
      <c r="A112">
        <v>5.5124751472321805</v>
      </c>
      <c r="C112">
        <v>6.1244059199525509</v>
      </c>
      <c r="E112">
        <f t="shared" si="3"/>
        <v>6.1244059199525509</v>
      </c>
      <c r="AE112">
        <f t="shared" si="5"/>
        <v>-0.47997651739233849</v>
      </c>
      <c r="AR112">
        <f t="shared" si="4"/>
        <v>0.14464706869378716</v>
      </c>
    </row>
    <row r="113" spans="1:44" x14ac:dyDescent="0.25">
      <c r="A113">
        <v>-0.2145106716779992</v>
      </c>
      <c r="C113">
        <v>1.73087575804675</v>
      </c>
      <c r="E113">
        <f t="shared" si="3"/>
        <v>1.73087575804675</v>
      </c>
      <c r="AE113">
        <f t="shared" si="5"/>
        <v>-1.0825580456878297</v>
      </c>
      <c r="AR113">
        <f t="shared" si="4"/>
        <v>4.0685815757626968E-2</v>
      </c>
    </row>
    <row r="114" spans="1:44" x14ac:dyDescent="0.25">
      <c r="A114">
        <v>4.5877236718370114</v>
      </c>
      <c r="C114">
        <v>-12.030893210787326</v>
      </c>
      <c r="E114">
        <f t="shared" si="3"/>
        <v>12.030893210787326</v>
      </c>
      <c r="AE114">
        <f t="shared" si="5"/>
        <v>0.33011013443691628</v>
      </c>
      <c r="AR114">
        <f t="shared" si="4"/>
        <v>0.28440844430258289</v>
      </c>
    </row>
    <row r="115" spans="1:44" x14ac:dyDescent="0.25">
      <c r="A115">
        <v>10.526996922824765</v>
      </c>
      <c r="C115">
        <v>-0.81018422660417855</v>
      </c>
      <c r="E115">
        <f t="shared" si="3"/>
        <v>0.81018422660417855</v>
      </c>
      <c r="AE115">
        <f t="shared" si="5"/>
        <v>-1.208832747274202</v>
      </c>
      <c r="AR115">
        <f t="shared" si="4"/>
        <v>1.8900089553584555E-2</v>
      </c>
    </row>
    <row r="116" spans="1:44" x14ac:dyDescent="0.25">
      <c r="A116">
        <v>24.815602066344582</v>
      </c>
      <c r="C116">
        <v>-11.90174496313557</v>
      </c>
      <c r="E116">
        <f t="shared" si="3"/>
        <v>11.90174496313557</v>
      </c>
      <c r="AE116">
        <f t="shared" si="5"/>
        <v>0.31239719163719681</v>
      </c>
      <c r="AR116">
        <f t="shared" si="4"/>
        <v>0.28135249313220057</v>
      </c>
    </row>
    <row r="117" spans="1:44" x14ac:dyDescent="0.25">
      <c r="A117">
        <v>11.286857008788502</v>
      </c>
      <c r="C117">
        <v>1.4869151729799341</v>
      </c>
      <c r="E117">
        <f t="shared" si="3"/>
        <v>1.4869151729799341</v>
      </c>
      <c r="AE117">
        <f t="shared" si="5"/>
        <v>-1.1160177322669829</v>
      </c>
      <c r="AR117">
        <f t="shared" si="4"/>
        <v>3.4913134757166203E-2</v>
      </c>
    </row>
    <row r="118" spans="1:44" x14ac:dyDescent="0.25">
      <c r="A118">
        <v>-0.44938767841085792</v>
      </c>
      <c r="C118">
        <v>20.1194943858427</v>
      </c>
      <c r="E118">
        <f t="shared" si="3"/>
        <v>20.1194943858427</v>
      </c>
      <c r="AE118">
        <f t="shared" si="5"/>
        <v>1.4394781092144782</v>
      </c>
      <c r="AR118">
        <f t="shared" si="4"/>
        <v>0.47580376461942187</v>
      </c>
    </row>
    <row r="119" spans="1:44" x14ac:dyDescent="0.25">
      <c r="A119">
        <v>15.812673175067175</v>
      </c>
      <c r="C119">
        <v>1.3453409539652057</v>
      </c>
      <c r="E119">
        <f t="shared" si="3"/>
        <v>1.3453409539652057</v>
      </c>
      <c r="AE119">
        <f t="shared" si="5"/>
        <v>-1.1354349221160063</v>
      </c>
      <c r="AR119">
        <f t="shared" si="4"/>
        <v>3.156315589054904E-2</v>
      </c>
    </row>
    <row r="120" spans="1:44" x14ac:dyDescent="0.25">
      <c r="A120">
        <v>5.5668742990819737</v>
      </c>
      <c r="C120">
        <v>20.33433977176901</v>
      </c>
      <c r="E120">
        <f t="shared" si="3"/>
        <v>20.33433977176901</v>
      </c>
      <c r="AE120">
        <f t="shared" si="5"/>
        <v>1.4689445874740819</v>
      </c>
      <c r="AR120">
        <f t="shared" si="4"/>
        <v>0.48088751155761594</v>
      </c>
    </row>
    <row r="121" spans="1:44" x14ac:dyDescent="0.25">
      <c r="A121">
        <v>-2.0260876934044063</v>
      </c>
      <c r="C121">
        <v>21.32909960183315</v>
      </c>
      <c r="E121">
        <f t="shared" si="3"/>
        <v>21.32909960183315</v>
      </c>
      <c r="AE121">
        <f t="shared" si="5"/>
        <v>1.605377905693752</v>
      </c>
      <c r="AR121">
        <f t="shared" si="4"/>
        <v>0.50442586784357124</v>
      </c>
    </row>
    <row r="122" spans="1:44" x14ac:dyDescent="0.25">
      <c r="A122">
        <v>3.8921989673399366</v>
      </c>
      <c r="C122">
        <v>23.476462067454122</v>
      </c>
      <c r="E122">
        <f t="shared" si="3"/>
        <v>23.476462067454122</v>
      </c>
      <c r="AE122">
        <f t="shared" si="5"/>
        <v>1.8998930014492281</v>
      </c>
      <c r="AR122">
        <f t="shared" si="4"/>
        <v>0.55523751228604434</v>
      </c>
    </row>
    <row r="123" spans="1:44" x14ac:dyDescent="0.25">
      <c r="A123">
        <v>-7.30888766865246</v>
      </c>
      <c r="C123">
        <v>-6.3706074595684186</v>
      </c>
      <c r="E123">
        <f t="shared" si="3"/>
        <v>6.3706074595684186</v>
      </c>
      <c r="AE123">
        <f t="shared" si="5"/>
        <v>-0.44620947937430899</v>
      </c>
      <c r="AR123">
        <f t="shared" si="4"/>
        <v>0.15047277594742184</v>
      </c>
    </row>
    <row r="124" spans="1:44" x14ac:dyDescent="0.25">
      <c r="A124">
        <v>15.416042535624001</v>
      </c>
      <c r="C124">
        <v>20.788950698450208</v>
      </c>
      <c r="E124">
        <f t="shared" si="3"/>
        <v>20.788950698450208</v>
      </c>
      <c r="AE124">
        <f t="shared" si="5"/>
        <v>1.5312953935194324</v>
      </c>
      <c r="AR124">
        <f t="shared" si="4"/>
        <v>0.49164467488519059</v>
      </c>
    </row>
    <row r="125" spans="1:44" x14ac:dyDescent="0.25">
      <c r="A125">
        <v>7.1855474945623428</v>
      </c>
      <c r="C125">
        <v>15.637413546035532</v>
      </c>
      <c r="E125">
        <f t="shared" si="3"/>
        <v>15.637413546035532</v>
      </c>
      <c r="AE125">
        <f t="shared" si="5"/>
        <v>0.82475167674055272</v>
      </c>
      <c r="AR125">
        <f t="shared" si="4"/>
        <v>0.3697471944591324</v>
      </c>
    </row>
    <row r="126" spans="1:44" x14ac:dyDescent="0.25">
      <c r="A126">
        <v>-5.9414623845368624</v>
      </c>
      <c r="C126">
        <v>10.880096872104332</v>
      </c>
      <c r="E126">
        <f t="shared" si="3"/>
        <v>10.880096872104332</v>
      </c>
      <c r="AE126">
        <f t="shared" si="5"/>
        <v>0.17227609416264761</v>
      </c>
      <c r="AR126">
        <f t="shared" si="4"/>
        <v>0.25717789737675184</v>
      </c>
    </row>
    <row r="127" spans="1:44" x14ac:dyDescent="0.25">
      <c r="A127">
        <v>-3.2663883555796929</v>
      </c>
      <c r="C127">
        <v>21.125441000738647</v>
      </c>
      <c r="E127">
        <f t="shared" si="3"/>
        <v>21.125441000738647</v>
      </c>
      <c r="AE127">
        <f t="shared" si="5"/>
        <v>1.5774457175498986</v>
      </c>
      <c r="AR127">
        <f t="shared" si="4"/>
        <v>0.49960682653492439</v>
      </c>
    </row>
    <row r="128" spans="1:44" x14ac:dyDescent="0.25">
      <c r="A128">
        <v>16.519555194652639</v>
      </c>
      <c r="C128">
        <v>27.213348423363641</v>
      </c>
      <c r="E128">
        <f t="shared" si="3"/>
        <v>27.213348423363641</v>
      </c>
      <c r="AE128">
        <f t="shared" si="5"/>
        <v>2.4124145065784344</v>
      </c>
      <c r="AR128">
        <f t="shared" si="4"/>
        <v>0.6436610289853989</v>
      </c>
    </row>
    <row r="129" spans="1:44" x14ac:dyDescent="0.25">
      <c r="A129">
        <v>4.4495600579539314</v>
      </c>
      <c r="C129">
        <v>13.385936674429104</v>
      </c>
      <c r="E129">
        <f t="shared" si="3"/>
        <v>13.385936674429104</v>
      </c>
      <c r="AE129">
        <f t="shared" si="5"/>
        <v>0.51595708009072527</v>
      </c>
      <c r="AR129">
        <f t="shared" si="4"/>
        <v>0.31647195839532483</v>
      </c>
    </row>
    <row r="130" spans="1:44" x14ac:dyDescent="0.25">
      <c r="A130">
        <v>4.4772428029391449</v>
      </c>
      <c r="C130">
        <v>11.480465693428414</v>
      </c>
      <c r="E130">
        <f t="shared" si="3"/>
        <v>11.480465693428414</v>
      </c>
      <c r="AE130">
        <f t="shared" si="5"/>
        <v>0.25461788961250542</v>
      </c>
      <c r="AR130">
        <f t="shared" si="4"/>
        <v>0.2713840351722378</v>
      </c>
    </row>
    <row r="131" spans="1:44" x14ac:dyDescent="0.25">
      <c r="A131">
        <v>10.717808911256725</v>
      </c>
      <c r="C131">
        <v>0.52440829877741635</v>
      </c>
      <c r="E131">
        <f t="shared" ref="E131:E194" si="6">ABS(C131)</f>
        <v>0.52440829877741635</v>
      </c>
      <c r="AE131">
        <f t="shared" si="5"/>
        <v>-1.2480274925004904</v>
      </c>
      <c r="AR131">
        <f t="shared" ref="AR131:AR194" si="7">(AE131 - $AJ$13)/($AJ$14 - $AJ$13)</f>
        <v>1.2137959234448095E-2</v>
      </c>
    </row>
    <row r="132" spans="1:44" x14ac:dyDescent="0.25">
      <c r="A132">
        <v>16.366600923181977</v>
      </c>
      <c r="C132">
        <v>4.9007149047683924</v>
      </c>
      <c r="E132">
        <f t="shared" si="6"/>
        <v>4.9007149047683924</v>
      </c>
      <c r="AE132">
        <f t="shared" ref="AE132:AE195" si="8">STANDARDIZE(E132,$M$4,$M$8)</f>
        <v>-0.64780820965760277</v>
      </c>
      <c r="AR132">
        <f t="shared" si="7"/>
        <v>0.11569166234462859</v>
      </c>
    </row>
    <row r="133" spans="1:44" x14ac:dyDescent="0.25">
      <c r="A133">
        <v>23.400883057736792</v>
      </c>
      <c r="C133">
        <v>17.070299711311236</v>
      </c>
      <c r="E133">
        <f t="shared" si="6"/>
        <v>17.070299711311236</v>
      </c>
      <c r="AE133">
        <f t="shared" si="8"/>
        <v>1.0212749060179329</v>
      </c>
      <c r="AR133">
        <f t="shared" si="7"/>
        <v>0.40365264988278088</v>
      </c>
    </row>
    <row r="134" spans="1:44" x14ac:dyDescent="0.25">
      <c r="A134">
        <v>5.5187847667257302</v>
      </c>
      <c r="C134">
        <v>11.256195668654982</v>
      </c>
      <c r="E134">
        <f t="shared" si="6"/>
        <v>11.256195668654982</v>
      </c>
      <c r="AE134">
        <f t="shared" si="8"/>
        <v>0.22385880311514048</v>
      </c>
      <c r="AR134">
        <f t="shared" si="7"/>
        <v>0.26607727912134588</v>
      </c>
    </row>
    <row r="135" spans="1:44" x14ac:dyDescent="0.25">
      <c r="A135">
        <v>15.992480277607683</v>
      </c>
      <c r="C135">
        <v>5.22499524068553</v>
      </c>
      <c r="E135">
        <f t="shared" si="6"/>
        <v>5.22499524068553</v>
      </c>
      <c r="AE135">
        <f t="shared" si="8"/>
        <v>-0.60333250715591291</v>
      </c>
      <c r="AR135">
        <f t="shared" si="7"/>
        <v>0.1233648974840639</v>
      </c>
    </row>
    <row r="136" spans="1:44" x14ac:dyDescent="0.25">
      <c r="A136">
        <v>8.5614083420368843</v>
      </c>
      <c r="C136">
        <v>8.1893454282253515</v>
      </c>
      <c r="E136">
        <f t="shared" si="6"/>
        <v>8.1893454282253515</v>
      </c>
      <c r="AE136">
        <f t="shared" si="8"/>
        <v>-0.1967658965750636</v>
      </c>
      <c r="AR136">
        <f t="shared" si="7"/>
        <v>0.19350839218685245</v>
      </c>
    </row>
    <row r="137" spans="1:44" x14ac:dyDescent="0.25">
      <c r="A137">
        <v>7.2530661074852105</v>
      </c>
      <c r="C137">
        <v>9.9893832359230146</v>
      </c>
      <c r="E137">
        <f t="shared" si="6"/>
        <v>9.9893832359230146</v>
      </c>
      <c r="AE137">
        <f t="shared" si="8"/>
        <v>5.0112921409793773E-2</v>
      </c>
      <c r="AR137">
        <f t="shared" si="7"/>
        <v>0.23610151865341439</v>
      </c>
    </row>
    <row r="138" spans="1:44" x14ac:dyDescent="0.25">
      <c r="A138">
        <v>-0.77303136803675443</v>
      </c>
      <c r="C138">
        <v>7.9192937139014248</v>
      </c>
      <c r="E138">
        <f t="shared" si="6"/>
        <v>7.9192937139014248</v>
      </c>
      <c r="AE138">
        <f t="shared" si="8"/>
        <v>-0.23380403418637838</v>
      </c>
      <c r="AR138">
        <f t="shared" si="7"/>
        <v>0.18711833372723438</v>
      </c>
    </row>
    <row r="139" spans="1:44" x14ac:dyDescent="0.25">
      <c r="A139">
        <v>16.018832886591554</v>
      </c>
      <c r="C139">
        <v>8.5614083420368843</v>
      </c>
      <c r="E139">
        <f t="shared" si="6"/>
        <v>8.5614083420368843</v>
      </c>
      <c r="AE139">
        <f t="shared" si="8"/>
        <v>-0.14573671708506197</v>
      </c>
      <c r="AR139">
        <f t="shared" si="7"/>
        <v>0.20231227545737204</v>
      </c>
    </row>
    <row r="140" spans="1:44" x14ac:dyDescent="0.25">
      <c r="A140">
        <v>19.354859452694654</v>
      </c>
      <c r="C140">
        <v>10.879301064240281</v>
      </c>
      <c r="E140">
        <f t="shared" si="6"/>
        <v>10.879301064240281</v>
      </c>
      <c r="AE140">
        <f t="shared" si="8"/>
        <v>0.17216694750807188</v>
      </c>
      <c r="AR140">
        <f t="shared" si="7"/>
        <v>0.25715906669172311</v>
      </c>
    </row>
    <row r="141" spans="1:44" x14ac:dyDescent="0.25">
      <c r="A141">
        <v>-11.700746634043753</v>
      </c>
      <c r="C141">
        <v>0.79878011293476447</v>
      </c>
      <c r="E141">
        <f t="shared" si="6"/>
        <v>0.79878011293476447</v>
      </c>
      <c r="AE141">
        <f t="shared" si="8"/>
        <v>-1.2103968444786217</v>
      </c>
      <c r="AR141">
        <f t="shared" si="7"/>
        <v>1.8630241412793749E-2</v>
      </c>
    </row>
    <row r="142" spans="1:44" x14ac:dyDescent="0.25">
      <c r="A142">
        <v>14.574680355697637</v>
      </c>
      <c r="C142">
        <v>18.986514098476619</v>
      </c>
      <c r="E142">
        <f t="shared" si="6"/>
        <v>18.986514098476619</v>
      </c>
      <c r="AE142">
        <f t="shared" si="8"/>
        <v>1.2840875763329254</v>
      </c>
      <c r="AR142">
        <f t="shared" si="7"/>
        <v>0.44899478735375631</v>
      </c>
    </row>
    <row r="143" spans="1:44" x14ac:dyDescent="0.25">
      <c r="A143">
        <v>5.4184675011201762</v>
      </c>
      <c r="C143">
        <v>17.725840754981618</v>
      </c>
      <c r="E143">
        <f t="shared" si="6"/>
        <v>17.725840754981618</v>
      </c>
      <c r="AE143">
        <f t="shared" si="8"/>
        <v>1.1111836831057342</v>
      </c>
      <c r="AR143">
        <f t="shared" si="7"/>
        <v>0.41916429217033241</v>
      </c>
    </row>
    <row r="144" spans="1:44" x14ac:dyDescent="0.25">
      <c r="A144">
        <v>6.8449872034834698</v>
      </c>
      <c r="C144">
        <v>20.386908565531485</v>
      </c>
      <c r="E144">
        <f t="shared" si="6"/>
        <v>20.386908565531485</v>
      </c>
      <c r="AE144">
        <f t="shared" si="8"/>
        <v>1.4761545036277706</v>
      </c>
      <c r="AR144">
        <f t="shared" si="7"/>
        <v>0.48213141280865895</v>
      </c>
    </row>
    <row r="145" spans="1:44" x14ac:dyDescent="0.25">
      <c r="A145">
        <v>4.4365088089834899</v>
      </c>
      <c r="C145">
        <v>-4.2870005725417286</v>
      </c>
      <c r="E145">
        <f t="shared" si="6"/>
        <v>4.2870005725417286</v>
      </c>
      <c r="AE145">
        <f t="shared" si="8"/>
        <v>-0.73198036886034612</v>
      </c>
      <c r="AR145">
        <f t="shared" si="7"/>
        <v>0.10116973838553896</v>
      </c>
    </row>
    <row r="146" spans="1:44" x14ac:dyDescent="0.25">
      <c r="A146">
        <v>9.0988060239469633</v>
      </c>
      <c r="C146">
        <v>-11.90174496313557</v>
      </c>
      <c r="E146">
        <f t="shared" si="6"/>
        <v>11.90174496313557</v>
      </c>
      <c r="AE146">
        <f t="shared" si="8"/>
        <v>0.31239719163719681</v>
      </c>
      <c r="AR146">
        <f t="shared" si="7"/>
        <v>0.28135249313220057</v>
      </c>
    </row>
    <row r="147" spans="1:44" x14ac:dyDescent="0.25">
      <c r="A147">
        <v>5.616487235063687</v>
      </c>
      <c r="C147">
        <v>3.1950940157985315</v>
      </c>
      <c r="E147">
        <f t="shared" si="6"/>
        <v>3.1950940157985315</v>
      </c>
      <c r="AE147">
        <f t="shared" si="8"/>
        <v>-0.88173755669601039</v>
      </c>
      <c r="AR147">
        <f t="shared" si="7"/>
        <v>7.5332662151836483E-2</v>
      </c>
    </row>
    <row r="148" spans="1:44" x14ac:dyDescent="0.25">
      <c r="A148">
        <v>13.981189588055713</v>
      </c>
      <c r="C148">
        <v>13.586912266153377</v>
      </c>
      <c r="E148">
        <f t="shared" si="6"/>
        <v>13.586912266153377</v>
      </c>
      <c r="AE148">
        <f t="shared" si="8"/>
        <v>0.54352128808486622</v>
      </c>
      <c r="AR148">
        <f t="shared" si="7"/>
        <v>0.32122751339444622</v>
      </c>
    </row>
    <row r="149" spans="1:44" x14ac:dyDescent="0.25">
      <c r="A149">
        <v>-2.9753273136448115</v>
      </c>
      <c r="C149">
        <v>6.7933733791578561</v>
      </c>
      <c r="E149">
        <f t="shared" si="6"/>
        <v>6.7933733791578561</v>
      </c>
      <c r="AE149">
        <f t="shared" si="8"/>
        <v>-0.38822628031805223</v>
      </c>
      <c r="AR149">
        <f t="shared" si="7"/>
        <v>0.16047641153875253</v>
      </c>
    </row>
    <row r="150" spans="1:44" x14ac:dyDescent="0.25">
      <c r="A150">
        <v>-9.5841705640777946</v>
      </c>
      <c r="C150">
        <v>10.012802724493667</v>
      </c>
      <c r="E150">
        <f t="shared" si="6"/>
        <v>10.012802724493667</v>
      </c>
      <c r="AE150">
        <f t="shared" si="8"/>
        <v>5.3324951530165435E-2</v>
      </c>
      <c r="AR150">
        <f t="shared" si="7"/>
        <v>0.23665567881283231</v>
      </c>
    </row>
    <row r="151" spans="1:44" x14ac:dyDescent="0.25">
      <c r="A151">
        <v>12.953108145855367</v>
      </c>
      <c r="C151">
        <v>20.386908565531485</v>
      </c>
      <c r="E151">
        <f t="shared" si="6"/>
        <v>20.386908565531485</v>
      </c>
      <c r="AE151">
        <f t="shared" si="8"/>
        <v>1.4761545036277706</v>
      </c>
      <c r="AR151">
        <f t="shared" si="7"/>
        <v>0.48213141280865895</v>
      </c>
    </row>
    <row r="152" spans="1:44" x14ac:dyDescent="0.25">
      <c r="A152">
        <v>18.444568943057675</v>
      </c>
      <c r="C152">
        <v>22.789111446589231</v>
      </c>
      <c r="E152">
        <f t="shared" si="6"/>
        <v>22.789111446589231</v>
      </c>
      <c r="AE152">
        <f t="shared" si="8"/>
        <v>1.8056214766542424</v>
      </c>
      <c r="AR152">
        <f t="shared" si="7"/>
        <v>0.53897318061691457</v>
      </c>
    </row>
    <row r="153" spans="1:44" x14ac:dyDescent="0.25">
      <c r="A153">
        <v>24.143621905939654</v>
      </c>
      <c r="C153">
        <v>13.608376341115218</v>
      </c>
      <c r="E153">
        <f t="shared" si="6"/>
        <v>13.608376341115218</v>
      </c>
      <c r="AE153">
        <f t="shared" si="8"/>
        <v>0.54646512928256608</v>
      </c>
      <c r="AR153">
        <f t="shared" si="7"/>
        <v>0.32173540387065053</v>
      </c>
    </row>
    <row r="154" spans="1:44" x14ac:dyDescent="0.25">
      <c r="A154">
        <v>11.977470441896003</v>
      </c>
      <c r="C154">
        <v>25.729598766891286</v>
      </c>
      <c r="E154">
        <f t="shared" si="6"/>
        <v>25.729598766891286</v>
      </c>
      <c r="AE154">
        <f t="shared" si="8"/>
        <v>2.2089152468357423</v>
      </c>
      <c r="AR154">
        <f t="shared" si="7"/>
        <v>0.60855202377862627</v>
      </c>
    </row>
    <row r="155" spans="1:44" x14ac:dyDescent="0.25">
      <c r="A155">
        <v>18.19830051518511</v>
      </c>
      <c r="C155">
        <v>6.4303258315776475</v>
      </c>
      <c r="E155">
        <f t="shared" si="6"/>
        <v>6.4303258315776475</v>
      </c>
      <c r="AE155">
        <f t="shared" si="8"/>
        <v>-0.43801898413550305</v>
      </c>
      <c r="AR155">
        <f t="shared" si="7"/>
        <v>0.15188585302863028</v>
      </c>
    </row>
    <row r="156" spans="1:44" x14ac:dyDescent="0.25">
      <c r="A156">
        <v>24.381864043069072</v>
      </c>
      <c r="C156">
        <v>15.533378720836481</v>
      </c>
      <c r="E156">
        <f t="shared" si="6"/>
        <v>15.533378720836481</v>
      </c>
      <c r="AE156">
        <f t="shared" si="8"/>
        <v>0.81048309051165901</v>
      </c>
      <c r="AR156">
        <f t="shared" si="7"/>
        <v>0.36728548590630072</v>
      </c>
    </row>
    <row r="157" spans="1:44" x14ac:dyDescent="0.25">
      <c r="A157">
        <v>0.89955212589120492</v>
      </c>
      <c r="C157">
        <v>-6.3706074595684186</v>
      </c>
      <c r="E157">
        <f t="shared" si="6"/>
        <v>6.3706074595684186</v>
      </c>
      <c r="AE157">
        <f t="shared" si="8"/>
        <v>-0.44620947937430899</v>
      </c>
      <c r="AR157">
        <f t="shared" si="7"/>
        <v>0.15047277594742184</v>
      </c>
    </row>
    <row r="158" spans="1:44" x14ac:dyDescent="0.25">
      <c r="A158">
        <v>-1.3213202490005642</v>
      </c>
      <c r="C158">
        <v>20.948294170200825</v>
      </c>
      <c r="E158">
        <f t="shared" si="6"/>
        <v>20.948294170200825</v>
      </c>
      <c r="AE158">
        <f t="shared" si="8"/>
        <v>1.5531496722413398</v>
      </c>
      <c r="AR158">
        <f t="shared" si="7"/>
        <v>0.49541511604752148</v>
      </c>
    </row>
    <row r="159" spans="1:44" x14ac:dyDescent="0.25">
      <c r="A159">
        <v>11.57490534952376</v>
      </c>
      <c r="C159">
        <v>11.323214059491875</v>
      </c>
      <c r="E159">
        <f t="shared" si="6"/>
        <v>11.323214059491875</v>
      </c>
      <c r="AE159">
        <f t="shared" si="8"/>
        <v>0.23305051066833996</v>
      </c>
      <c r="AR159">
        <f t="shared" si="7"/>
        <v>0.26766309181055398</v>
      </c>
    </row>
    <row r="160" spans="1:44" x14ac:dyDescent="0.25">
      <c r="A160">
        <v>18.443250175740104</v>
      </c>
      <c r="C160">
        <v>-4.7543898997828364</v>
      </c>
      <c r="E160">
        <f t="shared" si="6"/>
        <v>4.7543898997828364</v>
      </c>
      <c r="AE160">
        <f t="shared" si="8"/>
        <v>-0.66787697939009383</v>
      </c>
      <c r="AR160">
        <f t="shared" si="7"/>
        <v>0.11222926871271834</v>
      </c>
    </row>
    <row r="161" spans="1:44" x14ac:dyDescent="0.25">
      <c r="A161">
        <v>11.080037913605338</v>
      </c>
      <c r="C161">
        <v>-4.8831061374512501</v>
      </c>
      <c r="E161">
        <f t="shared" si="6"/>
        <v>4.8831061374512501</v>
      </c>
      <c r="AE161">
        <f t="shared" si="8"/>
        <v>-0.65022328763142978</v>
      </c>
      <c r="AR161">
        <f t="shared" si="7"/>
        <v>0.1152749975112279</v>
      </c>
    </row>
    <row r="162" spans="1:44" x14ac:dyDescent="0.25">
      <c r="A162">
        <v>23.69287633174099</v>
      </c>
      <c r="C162">
        <v>7.7869394974259194</v>
      </c>
      <c r="E162">
        <f t="shared" si="6"/>
        <v>7.7869394974259194</v>
      </c>
      <c r="AE162">
        <f t="shared" si="8"/>
        <v>-0.2519566820802458</v>
      </c>
      <c r="AR162">
        <f t="shared" si="7"/>
        <v>0.18398652179716474</v>
      </c>
    </row>
    <row r="163" spans="1:44" x14ac:dyDescent="0.25">
      <c r="A163">
        <v>-7.6069745571585372</v>
      </c>
      <c r="C163">
        <v>8.4687308319262229</v>
      </c>
      <c r="E163">
        <f t="shared" si="6"/>
        <v>8.4687308319262229</v>
      </c>
      <c r="AE163">
        <f t="shared" si="8"/>
        <v>-0.15844762462936771</v>
      </c>
      <c r="AR163">
        <f t="shared" si="7"/>
        <v>0.20011930768087935</v>
      </c>
    </row>
    <row r="164" spans="1:44" x14ac:dyDescent="0.25">
      <c r="A164">
        <v>-6.4701516546774656</v>
      </c>
      <c r="C164">
        <v>11.201387244189391</v>
      </c>
      <c r="E164">
        <f t="shared" si="6"/>
        <v>11.201387244189391</v>
      </c>
      <c r="AE164">
        <f t="shared" si="8"/>
        <v>0.21634171709071728</v>
      </c>
      <c r="AR164">
        <f t="shared" si="7"/>
        <v>0.26478038294243628</v>
      </c>
    </row>
    <row r="165" spans="1:44" x14ac:dyDescent="0.25">
      <c r="A165">
        <v>10.711453817028087</v>
      </c>
      <c r="C165">
        <v>1.8477685645921156</v>
      </c>
      <c r="E165">
        <f t="shared" si="6"/>
        <v>1.8477685645921156</v>
      </c>
      <c r="AE165">
        <f t="shared" si="8"/>
        <v>-1.0665259613685765</v>
      </c>
      <c r="AR165">
        <f t="shared" si="7"/>
        <v>4.3451774378566323E-2</v>
      </c>
    </row>
    <row r="166" spans="1:44" x14ac:dyDescent="0.25">
      <c r="A166">
        <v>14.435720933950506</v>
      </c>
      <c r="C166">
        <v>1.206279214064125</v>
      </c>
      <c r="E166">
        <f t="shared" si="6"/>
        <v>1.206279214064125</v>
      </c>
      <c r="AE166">
        <f t="shared" si="8"/>
        <v>-1.1545075203841548</v>
      </c>
      <c r="AR166">
        <f t="shared" si="7"/>
        <v>2.8272628186665559E-2</v>
      </c>
    </row>
    <row r="167" spans="1:44" x14ac:dyDescent="0.25">
      <c r="A167">
        <v>1.4850166027899832</v>
      </c>
      <c r="C167">
        <v>5.5668742990819737</v>
      </c>
      <c r="E167">
        <f t="shared" si="6"/>
        <v>5.5668742990819737</v>
      </c>
      <c r="AE167">
        <f t="shared" si="8"/>
        <v>-0.55644310435017663</v>
      </c>
      <c r="AR167">
        <f t="shared" si="7"/>
        <v>0.13145455977242104</v>
      </c>
    </row>
    <row r="168" spans="1:44" x14ac:dyDescent="0.25">
      <c r="A168">
        <v>-3.9334572445950471</v>
      </c>
      <c r="C168">
        <v>2.5609260976198129</v>
      </c>
      <c r="E168">
        <f t="shared" si="6"/>
        <v>2.5609260976198129</v>
      </c>
      <c r="AE168">
        <f t="shared" si="8"/>
        <v>-0.96871496648949185</v>
      </c>
      <c r="AR168">
        <f t="shared" si="7"/>
        <v>6.0326758262200374E-2</v>
      </c>
    </row>
    <row r="169" spans="1:44" x14ac:dyDescent="0.25">
      <c r="A169">
        <v>3.3737869873293675</v>
      </c>
      <c r="C169">
        <v>5.9770564095815644</v>
      </c>
      <c r="E169">
        <f t="shared" si="6"/>
        <v>5.9770564095815644</v>
      </c>
      <c r="AE169">
        <f t="shared" si="8"/>
        <v>-0.50018580010599722</v>
      </c>
      <c r="AR169">
        <f t="shared" si="7"/>
        <v>0.14116043285581842</v>
      </c>
    </row>
    <row r="170" spans="1:44" x14ac:dyDescent="0.25">
      <c r="A170">
        <v>16.876918400346767</v>
      </c>
      <c r="C170">
        <v>2.5094032227643766</v>
      </c>
      <c r="E170">
        <f t="shared" si="6"/>
        <v>2.5094032227643766</v>
      </c>
      <c r="AE170">
        <f t="shared" si="8"/>
        <v>-0.97578143275430951</v>
      </c>
      <c r="AR170">
        <f t="shared" si="7"/>
        <v>5.9107605911480947E-2</v>
      </c>
    </row>
    <row r="171" spans="1:44" x14ac:dyDescent="0.25">
      <c r="A171">
        <v>-2.1495061244349927</v>
      </c>
      <c r="C171">
        <v>11.146681137877749</v>
      </c>
      <c r="E171">
        <f t="shared" si="6"/>
        <v>11.146681137877749</v>
      </c>
      <c r="AE171">
        <f t="shared" si="8"/>
        <v>0.20883866420759667</v>
      </c>
      <c r="AR171">
        <f t="shared" si="7"/>
        <v>0.26348590785160175</v>
      </c>
    </row>
    <row r="172" spans="1:44" x14ac:dyDescent="0.25">
      <c r="A172">
        <v>15.533378720836481</v>
      </c>
      <c r="C172">
        <v>16.879192137101199</v>
      </c>
      <c r="E172">
        <f t="shared" si="6"/>
        <v>16.879192137101199</v>
      </c>
      <c r="AE172">
        <f t="shared" si="8"/>
        <v>0.99506411654053128</v>
      </c>
      <c r="AR172">
        <f t="shared" si="7"/>
        <v>0.39913059537801621</v>
      </c>
    </row>
    <row r="173" spans="1:44" x14ac:dyDescent="0.25">
      <c r="A173">
        <v>-0.31461193229188211</v>
      </c>
      <c r="C173">
        <v>5.0624458001111634</v>
      </c>
      <c r="E173">
        <f t="shared" si="6"/>
        <v>5.0624458001111634</v>
      </c>
      <c r="AE173">
        <f t="shared" si="8"/>
        <v>-0.62562649097196821</v>
      </c>
      <c r="AR173">
        <f t="shared" si="7"/>
        <v>0.11951859556204573</v>
      </c>
    </row>
    <row r="174" spans="1:44" x14ac:dyDescent="0.25">
      <c r="A174">
        <v>19.748397810151801</v>
      </c>
      <c r="C174">
        <v>-2.3265165307675488</v>
      </c>
      <c r="E174">
        <f t="shared" si="6"/>
        <v>2.3265165307675488</v>
      </c>
      <c r="AE174">
        <f t="shared" si="8"/>
        <v>-1.0008647116455944</v>
      </c>
      <c r="AR174">
        <f t="shared" si="7"/>
        <v>5.4780076807392025E-2</v>
      </c>
    </row>
    <row r="175" spans="1:44" x14ac:dyDescent="0.25">
      <c r="A175">
        <v>34.201450964435935</v>
      </c>
      <c r="C175">
        <v>-0.77303136803675443</v>
      </c>
      <c r="E175">
        <f t="shared" si="6"/>
        <v>0.77303136803675443</v>
      </c>
      <c r="AE175">
        <f t="shared" si="8"/>
        <v>-1.2139283368049663</v>
      </c>
      <c r="AR175">
        <f t="shared" si="7"/>
        <v>1.8020965572527404E-2</v>
      </c>
    </row>
    <row r="176" spans="1:44" x14ac:dyDescent="0.25">
      <c r="A176">
        <v>10.638512341945898</v>
      </c>
      <c r="C176">
        <v>5.5290393194882199</v>
      </c>
      <c r="E176">
        <f t="shared" si="6"/>
        <v>5.5290393194882199</v>
      </c>
      <c r="AE176">
        <f t="shared" si="8"/>
        <v>-0.56163224815629165</v>
      </c>
      <c r="AR176">
        <f t="shared" si="7"/>
        <v>0.13055929520419637</v>
      </c>
    </row>
    <row r="177" spans="1:44" x14ac:dyDescent="0.25">
      <c r="A177">
        <v>0.43304955598432571</v>
      </c>
      <c r="C177">
        <v>-6.4701516546774656</v>
      </c>
      <c r="E177">
        <f t="shared" si="6"/>
        <v>6.4701516546774656</v>
      </c>
      <c r="AE177">
        <f t="shared" si="8"/>
        <v>-0.43255679212480691</v>
      </c>
      <c r="AR177">
        <f t="shared" si="7"/>
        <v>0.15282822563473411</v>
      </c>
    </row>
    <row r="178" spans="1:44" x14ac:dyDescent="0.25">
      <c r="A178">
        <v>10.2514882402902</v>
      </c>
      <c r="C178">
        <v>-2.2021431303001009</v>
      </c>
      <c r="E178">
        <f t="shared" si="6"/>
        <v>2.2021431303001009</v>
      </c>
      <c r="AE178">
        <f t="shared" si="8"/>
        <v>-1.0179227745178594</v>
      </c>
      <c r="AR178">
        <f t="shared" si="7"/>
        <v>5.1837109747182301E-2</v>
      </c>
    </row>
    <row r="179" spans="1:44" x14ac:dyDescent="0.25">
      <c r="A179">
        <v>11.194941200490575</v>
      </c>
      <c r="C179">
        <v>-4.1290668175788596</v>
      </c>
      <c r="E179">
        <f t="shared" si="6"/>
        <v>4.1290668175788596</v>
      </c>
      <c r="AE179">
        <f t="shared" si="8"/>
        <v>-0.75364130207986224</v>
      </c>
      <c r="AR179">
        <f t="shared" si="7"/>
        <v>9.743265443668761E-2</v>
      </c>
    </row>
    <row r="180" spans="1:44" x14ac:dyDescent="0.25">
      <c r="A180">
        <v>-0.29625150799984112</v>
      </c>
      <c r="C180">
        <v>11.455284058873076</v>
      </c>
      <c r="E180">
        <f t="shared" si="6"/>
        <v>11.455284058873076</v>
      </c>
      <c r="AE180">
        <f t="shared" si="8"/>
        <v>0.25116417761414461</v>
      </c>
      <c r="AR180">
        <f t="shared" si="7"/>
        <v>0.27078817849597042</v>
      </c>
    </row>
    <row r="181" spans="1:44" x14ac:dyDescent="0.25">
      <c r="A181">
        <v>12.718367563327774</v>
      </c>
      <c r="C181">
        <v>22.018678484717384</v>
      </c>
      <c r="E181">
        <f t="shared" si="6"/>
        <v>22.018678484717384</v>
      </c>
      <c r="AE181">
        <f t="shared" si="8"/>
        <v>1.6999550411215498</v>
      </c>
      <c r="AR181">
        <f t="shared" si="7"/>
        <v>0.52074292543078171</v>
      </c>
    </row>
    <row r="182" spans="1:44" x14ac:dyDescent="0.25">
      <c r="A182">
        <v>2.5094032227643766</v>
      </c>
      <c r="C182">
        <v>10.586273240012815</v>
      </c>
      <c r="E182">
        <f t="shared" si="6"/>
        <v>10.586273240012815</v>
      </c>
      <c r="AE182">
        <f t="shared" si="8"/>
        <v>0.13197759005536336</v>
      </c>
      <c r="AR182">
        <f t="shared" si="7"/>
        <v>0.25022533945434594</v>
      </c>
    </row>
    <row r="183" spans="1:44" x14ac:dyDescent="0.25">
      <c r="A183">
        <v>15.894948339526309</v>
      </c>
      <c r="C183">
        <v>1.9289182293578051</v>
      </c>
      <c r="E183">
        <f t="shared" si="6"/>
        <v>1.9289182293578051</v>
      </c>
      <c r="AE183">
        <f t="shared" si="8"/>
        <v>-1.0553961210776965</v>
      </c>
      <c r="AR183">
        <f t="shared" si="7"/>
        <v>4.5371966231928011E-2</v>
      </c>
    </row>
    <row r="184" spans="1:44" x14ac:dyDescent="0.25">
      <c r="A184">
        <v>7.0910964697832242</v>
      </c>
      <c r="C184">
        <v>17.193331607093569</v>
      </c>
      <c r="E184">
        <f t="shared" si="6"/>
        <v>17.193331607093569</v>
      </c>
      <c r="AE184">
        <f t="shared" si="8"/>
        <v>1.0381489788153417</v>
      </c>
      <c r="AR184">
        <f t="shared" si="7"/>
        <v>0.40656387378822789</v>
      </c>
    </row>
    <row r="185" spans="1:44" x14ac:dyDescent="0.25">
      <c r="A185">
        <v>-7.7165231939870864</v>
      </c>
      <c r="C185">
        <v>4.7099142850202043</v>
      </c>
      <c r="E185">
        <f t="shared" si="6"/>
        <v>4.7099142850202043</v>
      </c>
      <c r="AE185">
        <f t="shared" si="8"/>
        <v>-0.67397689971109676</v>
      </c>
      <c r="AR185">
        <f t="shared" si="7"/>
        <v>0.11117687110408929</v>
      </c>
    </row>
    <row r="186" spans="1:44" x14ac:dyDescent="0.25">
      <c r="A186">
        <v>9.4481884136330336</v>
      </c>
      <c r="C186">
        <v>-0.39486347103957087</v>
      </c>
      <c r="E186">
        <f t="shared" si="6"/>
        <v>0.39486347103957087</v>
      </c>
      <c r="AE186">
        <f t="shared" si="8"/>
        <v>-1.265794827059356</v>
      </c>
      <c r="AR186">
        <f t="shared" si="7"/>
        <v>9.0726240468586294E-3</v>
      </c>
    </row>
    <row r="187" spans="1:44" x14ac:dyDescent="0.25">
      <c r="A187">
        <v>-0.69797531777294353</v>
      </c>
      <c r="C187">
        <v>8.2597403181425761</v>
      </c>
      <c r="E187">
        <f t="shared" si="6"/>
        <v>8.2597403181425761</v>
      </c>
      <c r="AE187">
        <f t="shared" si="8"/>
        <v>-0.18711109535887849</v>
      </c>
      <c r="AR187">
        <f t="shared" si="7"/>
        <v>0.19517410078253974</v>
      </c>
    </row>
    <row r="188" spans="1:44" x14ac:dyDescent="0.25">
      <c r="A188">
        <v>6.7077899277210236</v>
      </c>
      <c r="C188">
        <v>2.1980831863475032</v>
      </c>
      <c r="E188">
        <f t="shared" si="6"/>
        <v>2.1980831863475032</v>
      </c>
      <c r="AE188">
        <f t="shared" si="8"/>
        <v>-1.0184796040243376</v>
      </c>
      <c r="AR188">
        <f t="shared" si="7"/>
        <v>5.1741041928228336E-2</v>
      </c>
    </row>
    <row r="189" spans="1:44" x14ac:dyDescent="0.25">
      <c r="A189">
        <v>-12.90628186124377</v>
      </c>
      <c r="C189">
        <v>2.9454377201618627</v>
      </c>
      <c r="E189">
        <f t="shared" si="6"/>
        <v>2.9454377201618627</v>
      </c>
      <c r="AE189">
        <f t="shared" si="8"/>
        <v>-0.91597842147434128</v>
      </c>
      <c r="AR189">
        <f t="shared" si="7"/>
        <v>6.9425207248527007E-2</v>
      </c>
    </row>
    <row r="190" spans="1:44" x14ac:dyDescent="0.25">
      <c r="A190">
        <v>3.6890860630664974</v>
      </c>
      <c r="C190">
        <v>15.143830771383364</v>
      </c>
      <c r="E190">
        <f t="shared" si="6"/>
        <v>15.143830771383364</v>
      </c>
      <c r="AE190">
        <f t="shared" si="8"/>
        <v>0.75705580309683618</v>
      </c>
      <c r="AR190">
        <f t="shared" si="7"/>
        <v>0.35806786558472065</v>
      </c>
    </row>
    <row r="191" spans="1:44" x14ac:dyDescent="0.25">
      <c r="A191">
        <v>13.100673661218025</v>
      </c>
      <c r="C191">
        <v>1.7550683171139099</v>
      </c>
      <c r="E191">
        <f t="shared" si="6"/>
        <v>1.7550683171139099</v>
      </c>
      <c r="AE191">
        <f t="shared" si="8"/>
        <v>-1.0792399873887273</v>
      </c>
      <c r="AR191">
        <f t="shared" si="7"/>
        <v>4.1258268582501395E-2</v>
      </c>
    </row>
    <row r="192" spans="1:44" x14ac:dyDescent="0.25">
      <c r="A192">
        <v>-7.9989212988875806</v>
      </c>
      <c r="C192">
        <v>16.679012353240978</v>
      </c>
      <c r="E192">
        <f t="shared" si="6"/>
        <v>16.679012353240978</v>
      </c>
      <c r="AE192">
        <f t="shared" si="8"/>
        <v>0.96760905520096607</v>
      </c>
      <c r="AR192">
        <f t="shared" si="7"/>
        <v>0.39439387106392365</v>
      </c>
    </row>
    <row r="193" spans="1:44" x14ac:dyDescent="0.25">
      <c r="A193">
        <v>-8.9011400430463254</v>
      </c>
      <c r="C193">
        <v>12.016408183815656</v>
      </c>
      <c r="E193">
        <f t="shared" si="6"/>
        <v>12.016408183815656</v>
      </c>
      <c r="AE193">
        <f t="shared" si="8"/>
        <v>0.3281234837554961</v>
      </c>
      <c r="AR193">
        <f t="shared" si="7"/>
        <v>0.28406569450975211</v>
      </c>
    </row>
    <row r="194" spans="1:44" x14ac:dyDescent="0.25">
      <c r="A194">
        <v>-2.5547542261774652</v>
      </c>
      <c r="C194">
        <v>-4.7595512822153978</v>
      </c>
      <c r="E194">
        <f t="shared" si="6"/>
        <v>4.7595512822153978</v>
      </c>
      <c r="AE194">
        <f t="shared" si="8"/>
        <v>-0.66716908537327413</v>
      </c>
      <c r="AR194">
        <f t="shared" si="7"/>
        <v>0.11235139915561916</v>
      </c>
    </row>
    <row r="195" spans="1:44" x14ac:dyDescent="0.25">
      <c r="A195">
        <v>2.1899204713990912</v>
      </c>
      <c r="C195">
        <v>23.230307326419279</v>
      </c>
      <c r="E195">
        <f t="shared" ref="E195:E258" si="9">ABS(C195)</f>
        <v>23.230307326419279</v>
      </c>
      <c r="AE195">
        <f t="shared" si="8"/>
        <v>1.8661323819510305</v>
      </c>
      <c r="AR195">
        <f t="shared" ref="AR195:AR258" si="10">(AE195 - $AJ$13)/($AJ$14 - $AJ$13)</f>
        <v>0.54941291239686141</v>
      </c>
    </row>
    <row r="196" spans="1:44" x14ac:dyDescent="0.25">
      <c r="A196">
        <v>-4.0385720947524533</v>
      </c>
      <c r="C196">
        <v>5.2845671436516568</v>
      </c>
      <c r="E196">
        <f t="shared" si="9"/>
        <v>5.2845671436516568</v>
      </c>
      <c r="AE196">
        <f t="shared" ref="AE196:AE259" si="11">STANDARDIZE(E196,$M$4,$M$8)</f>
        <v>-0.59516210044195772</v>
      </c>
      <c r="AR196">
        <f t="shared" si="10"/>
        <v>0.12477450876335998</v>
      </c>
    </row>
    <row r="197" spans="1:44" x14ac:dyDescent="0.25">
      <c r="A197">
        <v>15.182393346738536</v>
      </c>
      <c r="C197">
        <v>12.953108145855367</v>
      </c>
      <c r="E197">
        <f t="shared" si="9"/>
        <v>12.953108145855367</v>
      </c>
      <c r="AE197">
        <f t="shared" si="11"/>
        <v>0.45659377390490496</v>
      </c>
      <c r="AR197">
        <f t="shared" si="10"/>
        <v>0.30623021781796606</v>
      </c>
    </row>
    <row r="198" spans="1:44" x14ac:dyDescent="0.25">
      <c r="A198">
        <v>1.6907897790661082</v>
      </c>
      <c r="C198">
        <v>3.0191977404756472</v>
      </c>
      <c r="E198">
        <f t="shared" si="9"/>
        <v>3.0191977404756472</v>
      </c>
      <c r="AE198">
        <f t="shared" si="11"/>
        <v>-0.90586208583309302</v>
      </c>
      <c r="AR198">
        <f t="shared" si="10"/>
        <v>7.1170542740907339E-2</v>
      </c>
    </row>
    <row r="199" spans="1:44" x14ac:dyDescent="0.25">
      <c r="A199">
        <v>0.2049482847796753</v>
      </c>
      <c r="C199">
        <v>-0.84747350937686861</v>
      </c>
      <c r="E199">
        <f t="shared" si="9"/>
        <v>0.84747350937686861</v>
      </c>
      <c r="AE199">
        <f t="shared" si="11"/>
        <v>-1.2037184468883675</v>
      </c>
      <c r="AR199">
        <f t="shared" si="10"/>
        <v>1.9782441652075225E-2</v>
      </c>
    </row>
    <row r="200" spans="1:44" x14ac:dyDescent="0.25">
      <c r="A200">
        <v>-5.3589082906837575</v>
      </c>
      <c r="C200">
        <v>3.3737869873293675</v>
      </c>
      <c r="E200">
        <f t="shared" si="9"/>
        <v>3.3737869873293675</v>
      </c>
      <c r="AE200">
        <f t="shared" si="11"/>
        <v>-0.85722945502999004</v>
      </c>
      <c r="AR200">
        <f t="shared" si="10"/>
        <v>7.9560957970152446E-2</v>
      </c>
    </row>
    <row r="201" spans="1:44" x14ac:dyDescent="0.25">
      <c r="A201">
        <v>7.288343133230228</v>
      </c>
      <c r="C201">
        <v>7.0173250807856675</v>
      </c>
      <c r="E201">
        <f t="shared" si="9"/>
        <v>7.0173250807856675</v>
      </c>
      <c r="AE201">
        <f t="shared" si="11"/>
        <v>-0.35751085248251763</v>
      </c>
      <c r="AR201">
        <f t="shared" si="10"/>
        <v>0.16577563531563291</v>
      </c>
    </row>
    <row r="202" spans="1:44" x14ac:dyDescent="0.25">
      <c r="A202">
        <v>0.34619281196501106</v>
      </c>
      <c r="C202">
        <v>0.26906766125466675</v>
      </c>
      <c r="E202">
        <f t="shared" si="9"/>
        <v>0.26906766125466675</v>
      </c>
      <c r="AE202">
        <f t="shared" si="11"/>
        <v>-1.2830479762400766</v>
      </c>
      <c r="AR202">
        <f t="shared" si="10"/>
        <v>6.0959994380760047E-3</v>
      </c>
    </row>
    <row r="203" spans="1:44" x14ac:dyDescent="0.25">
      <c r="A203">
        <v>-3.9646983876009472</v>
      </c>
      <c r="C203">
        <v>26.043965610559098</v>
      </c>
      <c r="E203">
        <f t="shared" si="9"/>
        <v>26.043965610559098</v>
      </c>
      <c r="AE203">
        <f t="shared" si="11"/>
        <v>2.252031293869003</v>
      </c>
      <c r="AR203">
        <f t="shared" si="10"/>
        <v>0.61599068238456045</v>
      </c>
    </row>
    <row r="204" spans="1:44" x14ac:dyDescent="0.25">
      <c r="A204">
        <v>-11.023082131752744</v>
      </c>
      <c r="C204">
        <v>17.061068340088241</v>
      </c>
      <c r="E204">
        <f t="shared" si="9"/>
        <v>17.061068340088241</v>
      </c>
      <c r="AE204">
        <f t="shared" si="11"/>
        <v>1.0200088048248546</v>
      </c>
      <c r="AR204">
        <f t="shared" si="10"/>
        <v>0.40343421393644729</v>
      </c>
    </row>
    <row r="205" spans="1:44" x14ac:dyDescent="0.25">
      <c r="A205">
        <v>22.169472706271335</v>
      </c>
      <c r="C205">
        <v>-5.9475105243036523</v>
      </c>
      <c r="E205">
        <f t="shared" si="9"/>
        <v>5.9475105243036523</v>
      </c>
      <c r="AE205">
        <f t="shared" si="11"/>
        <v>-0.50423807789846031</v>
      </c>
      <c r="AR205">
        <f t="shared" si="10"/>
        <v>0.14046130774698623</v>
      </c>
    </row>
    <row r="206" spans="1:44" x14ac:dyDescent="0.25">
      <c r="A206">
        <v>10.711453817028087</v>
      </c>
      <c r="C206">
        <v>24.242984202108346</v>
      </c>
      <c r="E206">
        <f t="shared" si="9"/>
        <v>24.242984202108346</v>
      </c>
      <c r="AE206">
        <f t="shared" si="11"/>
        <v>2.005023059136577</v>
      </c>
      <c r="AR206">
        <f t="shared" si="10"/>
        <v>0.57337522810575003</v>
      </c>
    </row>
    <row r="207" spans="1:44" x14ac:dyDescent="0.25">
      <c r="A207">
        <v>-1.1607034846674651</v>
      </c>
      <c r="C207">
        <v>14.299876531556947</v>
      </c>
      <c r="E207">
        <f t="shared" si="9"/>
        <v>14.299876531556947</v>
      </c>
      <c r="AE207">
        <f t="shared" si="11"/>
        <v>0.64130577591926807</v>
      </c>
      <c r="AR207">
        <f t="shared" si="10"/>
        <v>0.33809792411171607</v>
      </c>
    </row>
    <row r="208" spans="1:44" x14ac:dyDescent="0.25">
      <c r="A208">
        <v>21.386966202233452</v>
      </c>
      <c r="C208">
        <v>10.711453817028087</v>
      </c>
      <c r="E208">
        <f t="shared" si="9"/>
        <v>10.711453817028087</v>
      </c>
      <c r="AE208">
        <f t="shared" si="11"/>
        <v>0.14914635882012664</v>
      </c>
      <c r="AR208">
        <f t="shared" si="10"/>
        <v>0.25318740620937058</v>
      </c>
    </row>
    <row r="209" spans="1:44" x14ac:dyDescent="0.25">
      <c r="A209">
        <v>19.433917279646266</v>
      </c>
      <c r="C209">
        <v>-1.1443242139648646E-2</v>
      </c>
      <c r="E209">
        <f t="shared" si="9"/>
        <v>1.1443242139648646E-2</v>
      </c>
      <c r="AE209">
        <f t="shared" si="11"/>
        <v>-1.3183816852339456</v>
      </c>
      <c r="AR209">
        <f t="shared" si="10"/>
        <v>0</v>
      </c>
    </row>
    <row r="210" spans="1:44" x14ac:dyDescent="0.25">
      <c r="A210">
        <v>8.5798028723802418</v>
      </c>
      <c r="C210">
        <v>1.4679863144992851</v>
      </c>
      <c r="E210">
        <f t="shared" si="9"/>
        <v>1.4679863144992851</v>
      </c>
      <c r="AE210">
        <f t="shared" si="11"/>
        <v>-1.1186138634079628</v>
      </c>
      <c r="AR210">
        <f t="shared" si="10"/>
        <v>3.4465233463267755E-2</v>
      </c>
    </row>
    <row r="211" spans="1:44" x14ac:dyDescent="0.25">
      <c r="A211">
        <v>6.6445118338451721</v>
      </c>
      <c r="C211">
        <v>3.8921989673399366</v>
      </c>
      <c r="E211">
        <f t="shared" si="9"/>
        <v>3.8921989673399366</v>
      </c>
      <c r="AE211">
        <f t="shared" si="11"/>
        <v>-0.78612820576351061</v>
      </c>
      <c r="AR211">
        <f t="shared" si="10"/>
        <v>9.1827804217461742E-2</v>
      </c>
    </row>
    <row r="212" spans="1:44" x14ac:dyDescent="0.25">
      <c r="A212">
        <v>-6.3813849717844278</v>
      </c>
      <c r="C212">
        <v>13.476363185152877</v>
      </c>
      <c r="E212">
        <f t="shared" si="9"/>
        <v>13.476363185152877</v>
      </c>
      <c r="AE212">
        <f t="shared" si="11"/>
        <v>0.52835925852637389</v>
      </c>
      <c r="AR212">
        <f t="shared" si="10"/>
        <v>0.31861166223416471</v>
      </c>
    </row>
    <row r="213" spans="1:44" x14ac:dyDescent="0.25">
      <c r="A213">
        <v>6.8519221005844884</v>
      </c>
      <c r="C213">
        <v>-14.189487935975194</v>
      </c>
      <c r="E213">
        <f t="shared" si="9"/>
        <v>14.189487935975194</v>
      </c>
      <c r="AE213">
        <f t="shared" si="11"/>
        <v>0.62616575725983281</v>
      </c>
      <c r="AR213">
        <f t="shared" si="10"/>
        <v>0.33548587041374761</v>
      </c>
    </row>
    <row r="214" spans="1:44" x14ac:dyDescent="0.25">
      <c r="A214">
        <v>11.489412847557105</v>
      </c>
      <c r="C214">
        <v>20.759551282215398</v>
      </c>
      <c r="E214">
        <f t="shared" si="9"/>
        <v>20.759551282215398</v>
      </c>
      <c r="AE214">
        <f t="shared" si="11"/>
        <v>1.5272632042518202</v>
      </c>
      <c r="AR214">
        <f t="shared" si="10"/>
        <v>0.49094901557827086</v>
      </c>
    </row>
    <row r="215" spans="1:44" x14ac:dyDescent="0.25">
      <c r="A215">
        <v>2.0480620352900587</v>
      </c>
      <c r="C215">
        <v>-1.2530399342649616</v>
      </c>
      <c r="E215">
        <f t="shared" si="9"/>
        <v>1.2530399342649616</v>
      </c>
      <c r="AE215">
        <f t="shared" si="11"/>
        <v>-1.1480941932407274</v>
      </c>
      <c r="AR215">
        <f t="shared" si="10"/>
        <v>2.9379096762305754E-2</v>
      </c>
    </row>
    <row r="216" spans="1:44" x14ac:dyDescent="0.25">
      <c r="A216">
        <v>19.165934665768873</v>
      </c>
      <c r="C216">
        <v>8.3508148438413627</v>
      </c>
      <c r="E216">
        <f t="shared" si="9"/>
        <v>8.3508148438413627</v>
      </c>
      <c r="AE216">
        <f t="shared" si="11"/>
        <v>-0.17462004036164674</v>
      </c>
      <c r="AR216">
        <f t="shared" si="10"/>
        <v>0.19732913817918873</v>
      </c>
    </row>
    <row r="217" spans="1:44" x14ac:dyDescent="0.25">
      <c r="A217">
        <v>18.685175766411703</v>
      </c>
      <c r="C217">
        <v>12.449839252629317</v>
      </c>
      <c r="E217">
        <f t="shared" si="9"/>
        <v>12.449839252629317</v>
      </c>
      <c r="AE217">
        <f t="shared" si="11"/>
        <v>0.38756942955120949</v>
      </c>
      <c r="AR217">
        <f t="shared" si="10"/>
        <v>0.29432169260577551</v>
      </c>
    </row>
    <row r="218" spans="1:44" x14ac:dyDescent="0.25">
      <c r="A218">
        <v>-0.30380031402455643</v>
      </c>
      <c r="C218">
        <v>9.0688040674722288</v>
      </c>
      <c r="E218">
        <f t="shared" si="9"/>
        <v>9.0688040674722288</v>
      </c>
      <c r="AE218">
        <f t="shared" si="11"/>
        <v>-7.6146369365495181E-2</v>
      </c>
      <c r="AR218">
        <f t="shared" si="10"/>
        <v>0.214318451221926</v>
      </c>
    </row>
    <row r="219" spans="1:44" x14ac:dyDescent="0.25">
      <c r="A219">
        <v>20.30005182151217</v>
      </c>
      <c r="C219">
        <v>-3.9646983876009472</v>
      </c>
      <c r="E219">
        <f t="shared" si="9"/>
        <v>3.9646983876009472</v>
      </c>
      <c r="AE219">
        <f t="shared" si="11"/>
        <v>-0.77618476396351921</v>
      </c>
      <c r="AR219">
        <f t="shared" si="10"/>
        <v>9.3543310948889416E-2</v>
      </c>
    </row>
    <row r="220" spans="1:44" x14ac:dyDescent="0.25">
      <c r="A220">
        <v>-2.3265165307675488</v>
      </c>
      <c r="C220">
        <v>1.8357518658449408</v>
      </c>
      <c r="E220">
        <f t="shared" si="9"/>
        <v>1.8357518658449408</v>
      </c>
      <c r="AE220">
        <f t="shared" si="11"/>
        <v>-1.0681740758526701</v>
      </c>
      <c r="AR220">
        <f t="shared" si="10"/>
        <v>4.3167431034631977E-2</v>
      </c>
    </row>
    <row r="221" spans="1:44" x14ac:dyDescent="0.25">
      <c r="A221">
        <v>5.7139736984099727</v>
      </c>
      <c r="C221">
        <v>4.4381458994466811</v>
      </c>
      <c r="E221">
        <f t="shared" si="9"/>
        <v>4.4381458994466811</v>
      </c>
      <c r="AE221">
        <f t="shared" si="11"/>
        <v>-0.71125048224871068</v>
      </c>
      <c r="AR221">
        <f t="shared" si="10"/>
        <v>0.10474619216676628</v>
      </c>
    </row>
    <row r="222" spans="1:44" x14ac:dyDescent="0.25">
      <c r="A222">
        <v>32.594191927462816</v>
      </c>
      <c r="C222">
        <v>-8.6297922987723723</v>
      </c>
      <c r="E222">
        <f t="shared" si="9"/>
        <v>8.6297922987723723</v>
      </c>
      <c r="AE222">
        <f t="shared" si="11"/>
        <v>-0.13635771941301944</v>
      </c>
      <c r="AR222">
        <f t="shared" si="10"/>
        <v>0.20393040064622237</v>
      </c>
    </row>
    <row r="223" spans="1:44" x14ac:dyDescent="0.25">
      <c r="A223">
        <v>0.60610366036416963</v>
      </c>
      <c r="C223">
        <v>3.9487354317388963</v>
      </c>
      <c r="E223">
        <f t="shared" si="9"/>
        <v>3.9487354317388963</v>
      </c>
      <c r="AE223">
        <f t="shared" si="11"/>
        <v>-0.7783741155748658</v>
      </c>
      <c r="AR223">
        <f t="shared" si="10"/>
        <v>9.3165589883862379E-2</v>
      </c>
    </row>
    <row r="224" spans="1:44" x14ac:dyDescent="0.25">
      <c r="A224">
        <v>18.817439033417031</v>
      </c>
      <c r="C224">
        <v>3.7996351440669969</v>
      </c>
      <c r="E224">
        <f t="shared" si="9"/>
        <v>3.7996351440669969</v>
      </c>
      <c r="AE224">
        <f t="shared" si="11"/>
        <v>-0.79882352092859121</v>
      </c>
      <c r="AR224">
        <f t="shared" si="10"/>
        <v>8.9637526538830337E-2</v>
      </c>
    </row>
    <row r="225" spans="1:44" x14ac:dyDescent="0.25">
      <c r="A225">
        <v>8.9918949217535555</v>
      </c>
      <c r="C225">
        <v>16.926940608944278</v>
      </c>
      <c r="E225">
        <f t="shared" si="9"/>
        <v>16.926940608944278</v>
      </c>
      <c r="AE225">
        <f t="shared" si="11"/>
        <v>1.0016129158150755</v>
      </c>
      <c r="AR225">
        <f t="shared" si="10"/>
        <v>0.40026043647974213</v>
      </c>
    </row>
    <row r="226" spans="1:44" x14ac:dyDescent="0.25">
      <c r="A226">
        <v>8.2597403181425761</v>
      </c>
      <c r="C226">
        <v>0.16342985164374113</v>
      </c>
      <c r="E226">
        <f t="shared" si="9"/>
        <v>0.16342985164374113</v>
      </c>
      <c r="AE226">
        <f t="shared" si="11"/>
        <v>-1.2975364150160444</v>
      </c>
      <c r="AR226">
        <f t="shared" si="10"/>
        <v>3.5963605054005871E-3</v>
      </c>
    </row>
    <row r="227" spans="1:44" x14ac:dyDescent="0.25">
      <c r="A227">
        <v>21.523140296456404</v>
      </c>
      <c r="C227">
        <v>-1.4019469543127343</v>
      </c>
      <c r="E227">
        <f t="shared" si="9"/>
        <v>1.4019469543127343</v>
      </c>
      <c r="AE227">
        <f t="shared" si="11"/>
        <v>-1.1276712949316845</v>
      </c>
      <c r="AR227">
        <f t="shared" si="10"/>
        <v>3.2902586940973699E-2</v>
      </c>
    </row>
    <row r="228" spans="1:44" x14ac:dyDescent="0.25">
      <c r="A228">
        <v>1.1628622107382398</v>
      </c>
      <c r="C228">
        <v>18.90852492779959</v>
      </c>
      <c r="E228">
        <f t="shared" si="9"/>
        <v>18.90852492779959</v>
      </c>
      <c r="AE228">
        <f t="shared" si="11"/>
        <v>1.2733912041845032</v>
      </c>
      <c r="AR228">
        <f t="shared" si="10"/>
        <v>0.44714938022093742</v>
      </c>
    </row>
    <row r="229" spans="1:44" x14ac:dyDescent="0.25">
      <c r="A229">
        <v>12.57860096503282</v>
      </c>
      <c r="C229">
        <v>5.9942231220775284</v>
      </c>
      <c r="E229">
        <f t="shared" si="9"/>
        <v>5.9942231220775284</v>
      </c>
      <c r="AE229">
        <f t="shared" si="11"/>
        <v>-0.49783135084300639</v>
      </c>
      <c r="AR229">
        <f t="shared" si="10"/>
        <v>0.14156663763286748</v>
      </c>
    </row>
    <row r="230" spans="1:44" x14ac:dyDescent="0.25">
      <c r="A230">
        <v>5.9942231220775284</v>
      </c>
      <c r="C230">
        <v>1.4869151729799341</v>
      </c>
      <c r="E230">
        <f t="shared" si="9"/>
        <v>1.4869151729799341</v>
      </c>
      <c r="AE230">
        <f t="shared" si="11"/>
        <v>-1.1160177322669829</v>
      </c>
      <c r="AR230">
        <f t="shared" si="10"/>
        <v>3.4913134757166203E-2</v>
      </c>
    </row>
    <row r="231" spans="1:44" x14ac:dyDescent="0.25">
      <c r="A231">
        <v>10.012802724493667</v>
      </c>
      <c r="C231">
        <v>3.3200813251896761</v>
      </c>
      <c r="E231">
        <f t="shared" si="9"/>
        <v>3.3200813251896761</v>
      </c>
      <c r="AE231">
        <f t="shared" si="11"/>
        <v>-0.8645952949759298</v>
      </c>
      <c r="AR231">
        <f t="shared" si="10"/>
        <v>7.8290155740496969E-2</v>
      </c>
    </row>
    <row r="232" spans="1:44" x14ac:dyDescent="0.25">
      <c r="A232">
        <v>26.043965610559098</v>
      </c>
      <c r="C232">
        <v>-7.62771103635896</v>
      </c>
      <c r="E232">
        <f t="shared" si="9"/>
        <v>7.62771103635896</v>
      </c>
      <c r="AE232">
        <f t="shared" si="11"/>
        <v>-0.27379518685478627</v>
      </c>
      <c r="AR232">
        <f t="shared" si="10"/>
        <v>0.18021880205800236</v>
      </c>
    </row>
    <row r="233" spans="1:44" x14ac:dyDescent="0.25">
      <c r="A233">
        <v>10.880096872104332</v>
      </c>
      <c r="C233">
        <v>-7.5683210323331878</v>
      </c>
      <c r="E233">
        <f t="shared" si="9"/>
        <v>7.5683210323331878</v>
      </c>
      <c r="AE233">
        <f t="shared" si="11"/>
        <v>-0.28194064576198125</v>
      </c>
      <c r="AR233">
        <f t="shared" si="10"/>
        <v>0.17881349493528431</v>
      </c>
    </row>
    <row r="234" spans="1:44" x14ac:dyDescent="0.25">
      <c r="A234">
        <v>10.212277649960015</v>
      </c>
      <c r="C234">
        <v>9.0734197530837264</v>
      </c>
      <c r="E234">
        <f t="shared" si="9"/>
        <v>9.0734197530837264</v>
      </c>
      <c r="AE234">
        <f t="shared" si="11"/>
        <v>-7.5513318768955909E-2</v>
      </c>
      <c r="AR234">
        <f t="shared" si="10"/>
        <v>0.21442766919509285</v>
      </c>
    </row>
    <row r="235" spans="1:44" x14ac:dyDescent="0.25">
      <c r="A235">
        <v>5.8088908392237499</v>
      </c>
      <c r="C235">
        <v>4.8106862979766447</v>
      </c>
      <c r="E235">
        <f t="shared" si="9"/>
        <v>4.8106862979766447</v>
      </c>
      <c r="AE235">
        <f t="shared" si="11"/>
        <v>-0.66015581476596352</v>
      </c>
      <c r="AR235">
        <f t="shared" si="10"/>
        <v>0.1135613738483031</v>
      </c>
    </row>
    <row r="236" spans="1:44" x14ac:dyDescent="0.25">
      <c r="A236">
        <v>12.049604740430368</v>
      </c>
      <c r="C236">
        <v>11.776244739128742</v>
      </c>
      <c r="E236">
        <f t="shared" si="9"/>
        <v>11.776244739128742</v>
      </c>
      <c r="AE236">
        <f t="shared" si="11"/>
        <v>0.29518458264246145</v>
      </c>
      <c r="AR236">
        <f t="shared" si="10"/>
        <v>0.27838286277785718</v>
      </c>
    </row>
    <row r="237" spans="1:44" x14ac:dyDescent="0.25">
      <c r="A237">
        <v>4.4951484798802994</v>
      </c>
      <c r="C237">
        <v>8.2107753971358761</v>
      </c>
      <c r="E237">
        <f t="shared" si="9"/>
        <v>8.2107753971358761</v>
      </c>
      <c r="AE237">
        <f t="shared" si="11"/>
        <v>-0.19382673309113127</v>
      </c>
      <c r="AR237">
        <f t="shared" si="10"/>
        <v>0.1940154756336985</v>
      </c>
    </row>
    <row r="238" spans="1:44" x14ac:dyDescent="0.25">
      <c r="A238">
        <v>11.30867351294728</v>
      </c>
      <c r="C238">
        <v>7.6989345163456164</v>
      </c>
      <c r="E238">
        <f t="shared" si="9"/>
        <v>7.6989345163456164</v>
      </c>
      <c r="AE238">
        <f t="shared" si="11"/>
        <v>-0.26402674283839966</v>
      </c>
      <c r="AR238">
        <f t="shared" si="10"/>
        <v>0.18190411704276957</v>
      </c>
    </row>
    <row r="239" spans="1:44" x14ac:dyDescent="0.25">
      <c r="A239">
        <v>-5.544172361434903</v>
      </c>
      <c r="C239">
        <v>8.4380922291602474</v>
      </c>
      <c r="E239">
        <f t="shared" si="9"/>
        <v>8.4380922291602474</v>
      </c>
      <c r="AE239">
        <f t="shared" si="11"/>
        <v>-0.16264977083053353</v>
      </c>
      <c r="AR239">
        <f t="shared" si="10"/>
        <v>0.19939432630727194</v>
      </c>
    </row>
    <row r="240" spans="1:44" x14ac:dyDescent="0.25">
      <c r="A240">
        <v>-6.5353540587238967E-2</v>
      </c>
      <c r="C240">
        <v>4.6784002936037723</v>
      </c>
      <c r="E240">
        <f t="shared" si="9"/>
        <v>4.6784002936037723</v>
      </c>
      <c r="AE240">
        <f t="shared" si="11"/>
        <v>-0.67829910723229592</v>
      </c>
      <c r="AR240">
        <f t="shared" si="10"/>
        <v>0.11043117597695022</v>
      </c>
    </row>
    <row r="241" spans="1:44" x14ac:dyDescent="0.25">
      <c r="A241">
        <v>-9.4774868355598301</v>
      </c>
      <c r="C241">
        <v>19.073666428274009</v>
      </c>
      <c r="E241">
        <f t="shared" si="9"/>
        <v>19.073666428274009</v>
      </c>
      <c r="AE241">
        <f t="shared" si="11"/>
        <v>1.2960406942468909</v>
      </c>
      <c r="AR241">
        <f t="shared" si="10"/>
        <v>0.4510570163741921</v>
      </c>
    </row>
    <row r="242" spans="1:44" x14ac:dyDescent="0.25">
      <c r="A242">
        <v>5.4145111991674639</v>
      </c>
      <c r="C242">
        <v>12.037974576931447</v>
      </c>
      <c r="E242">
        <f t="shared" si="9"/>
        <v>12.037974576931447</v>
      </c>
      <c r="AE242">
        <f t="shared" si="11"/>
        <v>0.33108135809449857</v>
      </c>
      <c r="AR242">
        <f t="shared" si="10"/>
        <v>0.28457600607403166</v>
      </c>
    </row>
    <row r="243" spans="1:44" x14ac:dyDescent="0.25">
      <c r="A243">
        <v>25.755428416421637</v>
      </c>
      <c r="C243">
        <v>-30.417056202888489</v>
      </c>
      <c r="E243">
        <f t="shared" si="9"/>
        <v>30.417056202888489</v>
      </c>
      <c r="AE243">
        <f t="shared" si="11"/>
        <v>2.8518094939479619</v>
      </c>
      <c r="AR243">
        <f t="shared" si="10"/>
        <v>0.71946828705057475</v>
      </c>
    </row>
    <row r="244" spans="1:44" x14ac:dyDescent="0.25">
      <c r="A244">
        <v>3.0018718664068729</v>
      </c>
      <c r="C244">
        <v>5.4145111991674639</v>
      </c>
      <c r="E244">
        <f t="shared" si="9"/>
        <v>5.4145111991674639</v>
      </c>
      <c r="AE244">
        <f t="shared" si="11"/>
        <v>-0.57734001098766263</v>
      </c>
      <c r="AR244">
        <f t="shared" si="10"/>
        <v>0.12784929061877104</v>
      </c>
    </row>
    <row r="245" spans="1:44" x14ac:dyDescent="0.25">
      <c r="A245">
        <v>16.437382348347455</v>
      </c>
      <c r="C245">
        <v>2.5325157568731811</v>
      </c>
      <c r="E245">
        <f t="shared" si="9"/>
        <v>2.5325157568731811</v>
      </c>
      <c r="AE245">
        <f t="shared" si="11"/>
        <v>-0.97261150205784563</v>
      </c>
      <c r="AR245">
        <f t="shared" si="10"/>
        <v>5.9654502806673483E-2</v>
      </c>
    </row>
    <row r="246" spans="1:44" x14ac:dyDescent="0.25">
      <c r="A246">
        <v>2.3584612083213869</v>
      </c>
      <c r="C246">
        <v>7.9192937139014248</v>
      </c>
      <c r="E246">
        <f t="shared" si="9"/>
        <v>7.9192937139014248</v>
      </c>
      <c r="AE246">
        <f t="shared" si="11"/>
        <v>-0.23380403418637838</v>
      </c>
      <c r="AR246">
        <f t="shared" si="10"/>
        <v>0.18711833372723438</v>
      </c>
    </row>
    <row r="247" spans="1:44" x14ac:dyDescent="0.25">
      <c r="A247">
        <v>15.574089977424592</v>
      </c>
      <c r="C247">
        <v>-3.9646983876009472</v>
      </c>
      <c r="E247">
        <f t="shared" si="9"/>
        <v>3.9646983876009472</v>
      </c>
      <c r="AE247">
        <f t="shared" si="11"/>
        <v>-0.77618476396351921</v>
      </c>
      <c r="AR247">
        <f t="shared" si="10"/>
        <v>9.3543310948889416E-2</v>
      </c>
    </row>
    <row r="248" spans="1:44" x14ac:dyDescent="0.25">
      <c r="A248">
        <v>7.3366600392619148</v>
      </c>
      <c r="C248">
        <v>18.19830051518511</v>
      </c>
      <c r="E248">
        <f t="shared" si="9"/>
        <v>18.19830051518511</v>
      </c>
      <c r="AE248">
        <f t="shared" si="11"/>
        <v>1.1759824926894262</v>
      </c>
      <c r="AR248">
        <f t="shared" si="10"/>
        <v>0.4303438008621237</v>
      </c>
    </row>
    <row r="249" spans="1:44" x14ac:dyDescent="0.25">
      <c r="A249">
        <v>4.5852907735097688</v>
      </c>
      <c r="C249">
        <v>1.2332457319716923</v>
      </c>
      <c r="E249">
        <f t="shared" si="9"/>
        <v>1.2332457319716923</v>
      </c>
      <c r="AE249">
        <f t="shared" si="11"/>
        <v>-1.15080900803196</v>
      </c>
      <c r="AR249">
        <f t="shared" si="10"/>
        <v>2.891071939935453E-2</v>
      </c>
    </row>
    <row r="250" spans="1:44" x14ac:dyDescent="0.25">
      <c r="A250">
        <v>15.59448539611185</v>
      </c>
      <c r="C250">
        <v>8.5583387974184006</v>
      </c>
      <c r="E250">
        <f t="shared" si="9"/>
        <v>8.5583387974184006</v>
      </c>
      <c r="AE250">
        <f t="shared" si="11"/>
        <v>-0.14615771132413982</v>
      </c>
      <c r="AR250">
        <f t="shared" si="10"/>
        <v>0.20223964281511819</v>
      </c>
    </row>
    <row r="251" spans="1:44" x14ac:dyDescent="0.25">
      <c r="A251">
        <v>11.500792900013039</v>
      </c>
      <c r="C251">
        <v>19.165934665768873</v>
      </c>
      <c r="E251">
        <f t="shared" si="9"/>
        <v>19.165934665768873</v>
      </c>
      <c r="AE251">
        <f t="shared" si="11"/>
        <v>1.3086954692259862</v>
      </c>
      <c r="AR251">
        <f t="shared" si="10"/>
        <v>0.45324029979838426</v>
      </c>
    </row>
    <row r="252" spans="1:44" x14ac:dyDescent="0.25">
      <c r="A252">
        <v>0.25874489638954401</v>
      </c>
      <c r="C252">
        <v>19.727070159395225</v>
      </c>
      <c r="E252">
        <f t="shared" si="9"/>
        <v>19.727070159395225</v>
      </c>
      <c r="AE252">
        <f t="shared" si="11"/>
        <v>1.3856563346052602</v>
      </c>
      <c r="AR252">
        <f t="shared" si="10"/>
        <v>0.46651808482195201</v>
      </c>
    </row>
    <row r="253" spans="1:44" x14ac:dyDescent="0.25">
      <c r="A253">
        <v>-1.4329379862756468</v>
      </c>
      <c r="C253">
        <v>12.016408183815656</v>
      </c>
      <c r="E253">
        <f t="shared" si="9"/>
        <v>12.016408183815656</v>
      </c>
      <c r="AE253">
        <f t="shared" si="11"/>
        <v>0.3281234837554961</v>
      </c>
      <c r="AR253">
        <f t="shared" si="10"/>
        <v>0.28406569450975211</v>
      </c>
    </row>
    <row r="254" spans="1:44" x14ac:dyDescent="0.25">
      <c r="A254">
        <v>-3.4988779387203977</v>
      </c>
      <c r="C254">
        <v>1.73087575804675</v>
      </c>
      <c r="E254">
        <f t="shared" si="9"/>
        <v>1.73087575804675</v>
      </c>
      <c r="AE254">
        <f t="shared" si="11"/>
        <v>-1.0825580456878297</v>
      </c>
      <c r="AR254">
        <f t="shared" si="10"/>
        <v>4.0685815757626968E-2</v>
      </c>
    </row>
    <row r="255" spans="1:44" x14ac:dyDescent="0.25">
      <c r="A255">
        <v>10.12846771319164</v>
      </c>
      <c r="C255">
        <v>10.995921022375114</v>
      </c>
      <c r="E255">
        <f t="shared" si="9"/>
        <v>10.995921022375114</v>
      </c>
      <c r="AE255">
        <f t="shared" si="11"/>
        <v>0.18816161011718474</v>
      </c>
      <c r="AR255">
        <f t="shared" si="10"/>
        <v>0.25991856907779542</v>
      </c>
    </row>
    <row r="256" spans="1:44" x14ac:dyDescent="0.25">
      <c r="A256">
        <v>7.9514216142415535</v>
      </c>
      <c r="C256">
        <v>2.1500391287263483</v>
      </c>
      <c r="E256">
        <f t="shared" si="9"/>
        <v>2.1500391287263483</v>
      </c>
      <c r="AE256">
        <f t="shared" si="11"/>
        <v>-1.025068943484867</v>
      </c>
      <c r="AR256">
        <f t="shared" si="10"/>
        <v>5.0604206572063229E-2</v>
      </c>
    </row>
    <row r="257" spans="1:44" x14ac:dyDescent="0.25">
      <c r="A257">
        <v>12.225444172334392</v>
      </c>
      <c r="C257">
        <v>14.258881057874532</v>
      </c>
      <c r="E257">
        <f t="shared" si="9"/>
        <v>14.258881057874532</v>
      </c>
      <c r="AE257">
        <f t="shared" si="11"/>
        <v>0.63568316397069513</v>
      </c>
      <c r="AR257">
        <f t="shared" si="10"/>
        <v>0.33712787482294859</v>
      </c>
    </row>
    <row r="258" spans="1:44" x14ac:dyDescent="0.25">
      <c r="A258">
        <v>10.62742787526804</v>
      </c>
      <c r="C258">
        <v>12.449839252629317</v>
      </c>
      <c r="E258">
        <f t="shared" si="9"/>
        <v>12.449839252629317</v>
      </c>
      <c r="AE258">
        <f t="shared" si="11"/>
        <v>0.38756942955120949</v>
      </c>
      <c r="AR258">
        <f t="shared" si="10"/>
        <v>0.29432169260577551</v>
      </c>
    </row>
    <row r="259" spans="1:44" x14ac:dyDescent="0.25">
      <c r="A259">
        <v>8.0042064129956998</v>
      </c>
      <c r="C259">
        <v>-1.4664073913008906</v>
      </c>
      <c r="E259">
        <f t="shared" ref="E259:E322" si="12">ABS(C259)</f>
        <v>1.4664073913008906</v>
      </c>
      <c r="AE259">
        <f t="shared" si="11"/>
        <v>-1.11883041591105</v>
      </c>
      <c r="AR259">
        <f t="shared" ref="AR259:AR322" si="13">(AE259 - $AJ$13)/($AJ$14 - $AJ$13)</f>
        <v>3.4427872428303578E-2</v>
      </c>
    </row>
    <row r="260" spans="1:44" x14ac:dyDescent="0.25">
      <c r="A260">
        <v>-5.990120351081714</v>
      </c>
      <c r="C260">
        <v>10.167610091419192</v>
      </c>
      <c r="E260">
        <f t="shared" si="12"/>
        <v>10.167610091419192</v>
      </c>
      <c r="AE260">
        <f t="shared" ref="AE260:AE323" si="14">STANDARDIZE(E260,$M$4,$M$8)</f>
        <v>7.4557094320991113E-2</v>
      </c>
      <c r="AR260">
        <f t="shared" si="13"/>
        <v>0.2403187850704992</v>
      </c>
    </row>
    <row r="261" spans="1:44" x14ac:dyDescent="0.25">
      <c r="A261">
        <v>15.364769771811552</v>
      </c>
      <c r="C261">
        <v>8.3737795850611292</v>
      </c>
      <c r="E261">
        <f t="shared" si="12"/>
        <v>8.3737795850611292</v>
      </c>
      <c r="AE261">
        <f t="shared" si="14"/>
        <v>-0.17147037975817553</v>
      </c>
      <c r="AR261">
        <f t="shared" si="13"/>
        <v>0.19787253794716164</v>
      </c>
    </row>
    <row r="262" spans="1:44" x14ac:dyDescent="0.25">
      <c r="A262">
        <v>-0.88260274223284796</v>
      </c>
      <c r="C262">
        <v>13.181868800718803</v>
      </c>
      <c r="E262">
        <f t="shared" si="12"/>
        <v>13.181868800718803</v>
      </c>
      <c r="AE262">
        <f t="shared" si="14"/>
        <v>0.48796875938166157</v>
      </c>
      <c r="AR262">
        <f t="shared" si="13"/>
        <v>0.31164323273437738</v>
      </c>
    </row>
    <row r="263" spans="1:44" x14ac:dyDescent="0.25">
      <c r="A263">
        <v>12.118624019611161</v>
      </c>
      <c r="C263">
        <v>3.0788605929119512</v>
      </c>
      <c r="E263">
        <f t="shared" si="12"/>
        <v>3.0788605929119512</v>
      </c>
      <c r="AE263">
        <f t="shared" si="14"/>
        <v>-0.89767920521575784</v>
      </c>
      <c r="AR263">
        <f t="shared" si="13"/>
        <v>7.2582306098492408E-2</v>
      </c>
    </row>
    <row r="264" spans="1:44" x14ac:dyDescent="0.25">
      <c r="A264">
        <v>-9.8336904355091974</v>
      </c>
      <c r="C264">
        <v>18.497524272068404</v>
      </c>
      <c r="E264">
        <f t="shared" si="12"/>
        <v>18.497524272068404</v>
      </c>
      <c r="AE264">
        <f t="shared" si="14"/>
        <v>1.217021634809903</v>
      </c>
      <c r="AR264">
        <f t="shared" si="13"/>
        <v>0.43742413843293904</v>
      </c>
    </row>
    <row r="265" spans="1:44" x14ac:dyDescent="0.25">
      <c r="A265">
        <v>-5.0068883663625456</v>
      </c>
      <c r="C265">
        <v>26.490209185983986</v>
      </c>
      <c r="E265">
        <f t="shared" si="12"/>
        <v>26.490209185983986</v>
      </c>
      <c r="AE265">
        <f t="shared" si="14"/>
        <v>2.3132345008033854</v>
      </c>
      <c r="AR265">
        <f t="shared" si="13"/>
        <v>0.62654985450954692</v>
      </c>
    </row>
    <row r="266" spans="1:44" x14ac:dyDescent="0.25">
      <c r="A266">
        <v>-4.2870005725417286</v>
      </c>
      <c r="C266">
        <v>-0.3970462583238259</v>
      </c>
      <c r="E266">
        <f t="shared" si="12"/>
        <v>0.3970462583238259</v>
      </c>
      <c r="AE266">
        <f t="shared" si="14"/>
        <v>-1.2654954533782341</v>
      </c>
      <c r="AR266">
        <f t="shared" si="13"/>
        <v>9.1242739257946428E-3</v>
      </c>
    </row>
    <row r="267" spans="1:44" x14ac:dyDescent="0.25">
      <c r="A267">
        <v>13.135552783031017</v>
      </c>
      <c r="C267">
        <v>6.8449872034834698</v>
      </c>
      <c r="E267">
        <f t="shared" si="12"/>
        <v>6.8449872034834698</v>
      </c>
      <c r="AE267">
        <f t="shared" si="14"/>
        <v>-0.38114734014985452</v>
      </c>
      <c r="AR267">
        <f t="shared" si="13"/>
        <v>0.16169771596776097</v>
      </c>
    </row>
    <row r="268" spans="1:44" x14ac:dyDescent="0.25">
      <c r="A268">
        <v>26.032278603641316</v>
      </c>
      <c r="C268">
        <v>8.1870489541033749</v>
      </c>
      <c r="E268">
        <f t="shared" si="12"/>
        <v>8.1870489541033749</v>
      </c>
      <c r="AE268">
        <f t="shared" si="14"/>
        <v>-0.19708086263541072</v>
      </c>
      <c r="AR268">
        <f t="shared" si="13"/>
        <v>0.19345405221005516</v>
      </c>
    </row>
    <row r="269" spans="1:44" x14ac:dyDescent="0.25">
      <c r="A269">
        <v>19.017345968866721</v>
      </c>
      <c r="C269">
        <v>10.225601747340988</v>
      </c>
      <c r="E269">
        <f t="shared" si="12"/>
        <v>10.225601747340988</v>
      </c>
      <c r="AE269">
        <f t="shared" si="14"/>
        <v>8.2510766963717258E-2</v>
      </c>
      <c r="AR269">
        <f t="shared" si="13"/>
        <v>0.24169100398952387</v>
      </c>
    </row>
    <row r="270" spans="1:44" x14ac:dyDescent="0.25">
      <c r="A270">
        <v>-1.0092953541898169</v>
      </c>
      <c r="C270">
        <v>5.1907982398988679</v>
      </c>
      <c r="E270">
        <f t="shared" si="12"/>
        <v>5.1907982398988679</v>
      </c>
      <c r="AE270">
        <f t="shared" si="14"/>
        <v>-0.60802269482682447</v>
      </c>
      <c r="AR270">
        <f t="shared" si="13"/>
        <v>0.1225557160473993</v>
      </c>
    </row>
    <row r="271" spans="1:44" x14ac:dyDescent="0.25">
      <c r="A271">
        <v>1.6515450826846063</v>
      </c>
      <c r="C271">
        <v>-0.69797531777294353</v>
      </c>
      <c r="E271">
        <f t="shared" si="12"/>
        <v>0.69797531777294353</v>
      </c>
      <c r="AE271">
        <f t="shared" si="14"/>
        <v>-1.2242224255693808</v>
      </c>
      <c r="AR271">
        <f t="shared" si="13"/>
        <v>1.6244962964528792E-2</v>
      </c>
    </row>
    <row r="272" spans="1:44" x14ac:dyDescent="0.25">
      <c r="A272">
        <v>-3.4855311039718799</v>
      </c>
      <c r="C272">
        <v>-4.0101958600571379</v>
      </c>
      <c r="E272">
        <f t="shared" si="12"/>
        <v>4.0101958600571379</v>
      </c>
      <c r="AE272">
        <f t="shared" si="14"/>
        <v>-0.7699446937976322</v>
      </c>
      <c r="AR272">
        <f t="shared" si="13"/>
        <v>9.4619888112962472E-2</v>
      </c>
    </row>
    <row r="273" spans="1:44" x14ac:dyDescent="0.25">
      <c r="A273">
        <v>-4.0718141261022538</v>
      </c>
      <c r="C273">
        <v>-2.9251686808420345</v>
      </c>
      <c r="E273">
        <f t="shared" si="12"/>
        <v>2.9251686808420345</v>
      </c>
      <c r="AE273">
        <f t="shared" si="14"/>
        <v>-0.91875836112203568</v>
      </c>
      <c r="AR273">
        <f t="shared" si="13"/>
        <v>6.8945594125173024E-2</v>
      </c>
    </row>
    <row r="274" spans="1:44" x14ac:dyDescent="0.25">
      <c r="A274">
        <v>2.6661660032987129</v>
      </c>
      <c r="C274">
        <v>26.032278603641316</v>
      </c>
      <c r="E274">
        <f t="shared" si="12"/>
        <v>26.032278603641316</v>
      </c>
      <c r="AE274">
        <f t="shared" si="14"/>
        <v>2.2504283972846619</v>
      </c>
      <c r="AR274">
        <f t="shared" si="13"/>
        <v>0.61571414032442373</v>
      </c>
    </row>
    <row r="275" spans="1:44" x14ac:dyDescent="0.25">
      <c r="A275">
        <v>-1.4019469543127343</v>
      </c>
      <c r="C275">
        <v>-5.6076096168835647</v>
      </c>
      <c r="E275">
        <f t="shared" si="12"/>
        <v>5.6076096168835647</v>
      </c>
      <c r="AE275">
        <f t="shared" si="14"/>
        <v>-0.55085617330567971</v>
      </c>
      <c r="AR275">
        <f t="shared" si="13"/>
        <v>0.1324184531614149</v>
      </c>
    </row>
    <row r="276" spans="1:44" x14ac:dyDescent="0.25">
      <c r="A276">
        <v>-2.2434341897605918</v>
      </c>
      <c r="C276">
        <v>7.9728402144683059</v>
      </c>
      <c r="E276">
        <f t="shared" si="12"/>
        <v>7.9728402144683059</v>
      </c>
      <c r="AE276">
        <f t="shared" si="14"/>
        <v>-0.22646002357135384</v>
      </c>
      <c r="AR276">
        <f t="shared" si="13"/>
        <v>0.18838536981988407</v>
      </c>
    </row>
    <row r="277" spans="1:44" x14ac:dyDescent="0.25">
      <c r="A277">
        <v>0.36258645396446809</v>
      </c>
      <c r="C277">
        <v>12.037156031699851</v>
      </c>
      <c r="E277">
        <f t="shared" si="12"/>
        <v>12.037156031699851</v>
      </c>
      <c r="AE277">
        <f t="shared" si="14"/>
        <v>0.33096909296407778</v>
      </c>
      <c r="AR277">
        <f t="shared" si="13"/>
        <v>0.28455663736943065</v>
      </c>
    </row>
    <row r="278" spans="1:44" x14ac:dyDescent="0.25">
      <c r="A278">
        <v>29.593405108433217</v>
      </c>
      <c r="C278">
        <v>-8.6297922987723723</v>
      </c>
      <c r="E278">
        <f t="shared" si="12"/>
        <v>8.6297922987723723</v>
      </c>
      <c r="AE278">
        <f t="shared" si="14"/>
        <v>-0.13635771941301944</v>
      </c>
      <c r="AR278">
        <f t="shared" si="13"/>
        <v>0.20393040064622237</v>
      </c>
    </row>
    <row r="279" spans="1:44" x14ac:dyDescent="0.25">
      <c r="A279">
        <v>2.8731669974222314</v>
      </c>
      <c r="C279">
        <v>17.070299711311236</v>
      </c>
      <c r="E279">
        <f t="shared" si="12"/>
        <v>17.070299711311236</v>
      </c>
      <c r="AE279">
        <f t="shared" si="14"/>
        <v>1.0212749060179329</v>
      </c>
      <c r="AR279">
        <f t="shared" si="13"/>
        <v>0.40365264988278088</v>
      </c>
    </row>
    <row r="280" spans="1:44" x14ac:dyDescent="0.25">
      <c r="A280">
        <v>7.2837501849862747</v>
      </c>
      <c r="C280">
        <v>-21.274087864905596</v>
      </c>
      <c r="E280">
        <f t="shared" si="12"/>
        <v>21.274087864905596</v>
      </c>
      <c r="AE280">
        <f t="shared" si="14"/>
        <v>1.5978329349548654</v>
      </c>
      <c r="AR280">
        <f t="shared" si="13"/>
        <v>0.50312416081381872</v>
      </c>
    </row>
    <row r="281" spans="1:44" x14ac:dyDescent="0.25">
      <c r="A281">
        <v>1.6618223728146404</v>
      </c>
      <c r="C281">
        <v>9.9363596948096529</v>
      </c>
      <c r="E281">
        <f t="shared" si="12"/>
        <v>9.9363596948096529</v>
      </c>
      <c r="AE281">
        <f t="shared" si="14"/>
        <v>4.2840635739204734E-2</v>
      </c>
      <c r="AR281">
        <f t="shared" si="13"/>
        <v>0.23484685701092645</v>
      </c>
    </row>
    <row r="282" spans="1:44" x14ac:dyDescent="0.25">
      <c r="A282">
        <v>7.8167822923278436</v>
      </c>
      <c r="C282">
        <v>-7.7640442921547219</v>
      </c>
      <c r="E282">
        <f t="shared" si="12"/>
        <v>7.7640442921547219</v>
      </c>
      <c r="AE282">
        <f t="shared" si="14"/>
        <v>-0.25509680568804022</v>
      </c>
      <c r="AR282">
        <f t="shared" si="13"/>
        <v>0.1834447674132158</v>
      </c>
    </row>
    <row r="283" spans="1:44" x14ac:dyDescent="0.25">
      <c r="A283">
        <v>-10.418813851894811</v>
      </c>
      <c r="C283">
        <v>-1.5566065283492208</v>
      </c>
      <c r="E283">
        <f t="shared" si="12"/>
        <v>1.5566065283492208</v>
      </c>
      <c r="AE283">
        <f t="shared" si="14"/>
        <v>-1.1064594222338515</v>
      </c>
      <c r="AR283">
        <f t="shared" si="13"/>
        <v>3.6562196071420965E-2</v>
      </c>
    </row>
    <row r="284" spans="1:44" x14ac:dyDescent="0.25">
      <c r="A284">
        <v>-4.8831061374512501</v>
      </c>
      <c r="C284">
        <v>7.2530661074852105</v>
      </c>
      <c r="E284">
        <f t="shared" si="12"/>
        <v>7.2530661074852105</v>
      </c>
      <c r="AE284">
        <f t="shared" si="14"/>
        <v>-0.3251784949213396</v>
      </c>
      <c r="AR284">
        <f t="shared" si="13"/>
        <v>0.17135382224072515</v>
      </c>
    </row>
    <row r="285" spans="1:44" x14ac:dyDescent="0.25">
      <c r="A285">
        <v>0.41572368191555142</v>
      </c>
      <c r="C285">
        <v>18.239546099910513</v>
      </c>
      <c r="E285">
        <f t="shared" si="12"/>
        <v>18.239546099910513</v>
      </c>
      <c r="AE285">
        <f t="shared" si="14"/>
        <v>1.1816394078722945</v>
      </c>
      <c r="AR285">
        <f t="shared" si="13"/>
        <v>0.43131976836618596</v>
      </c>
    </row>
    <row r="286" spans="1:44" x14ac:dyDescent="0.25">
      <c r="A286">
        <v>0.63320660247700289</v>
      </c>
      <c r="C286">
        <v>26.368973542237654</v>
      </c>
      <c r="E286">
        <f t="shared" si="12"/>
        <v>26.368973542237654</v>
      </c>
      <c r="AE286">
        <f t="shared" si="14"/>
        <v>2.2966067875977334</v>
      </c>
      <c r="AR286">
        <f t="shared" si="13"/>
        <v>0.62368113415030768</v>
      </c>
    </row>
    <row r="287" spans="1:44" x14ac:dyDescent="0.25">
      <c r="A287">
        <v>8.1166654328699224</v>
      </c>
      <c r="C287">
        <v>-10.242280930280685</v>
      </c>
      <c r="E287">
        <f t="shared" si="12"/>
        <v>10.242280930280685</v>
      </c>
      <c r="AE287">
        <f t="shared" si="14"/>
        <v>8.479835056418196E-2</v>
      </c>
      <c r="AR287">
        <f t="shared" si="13"/>
        <v>0.24208567267107681</v>
      </c>
    </row>
    <row r="288" spans="1:44" x14ac:dyDescent="0.25">
      <c r="A288">
        <v>28.347943063825369</v>
      </c>
      <c r="C288">
        <v>9.1681095202220604</v>
      </c>
      <c r="E288">
        <f t="shared" si="12"/>
        <v>9.1681095202220604</v>
      </c>
      <c r="AE288">
        <f t="shared" si="14"/>
        <v>-6.2526426112365835E-2</v>
      </c>
      <c r="AR288">
        <f t="shared" si="13"/>
        <v>0.21666825170372964</v>
      </c>
    </row>
    <row r="289" spans="1:44" x14ac:dyDescent="0.25">
      <c r="A289">
        <v>11.455284058873076</v>
      </c>
      <c r="C289">
        <v>0.75112259056186303</v>
      </c>
      <c r="E289">
        <f t="shared" si="12"/>
        <v>0.75112259056186303</v>
      </c>
      <c r="AE289">
        <f t="shared" si="14"/>
        <v>-1.2169331698497858</v>
      </c>
      <c r="AR289">
        <f t="shared" si="13"/>
        <v>1.7502552389356888E-2</v>
      </c>
    </row>
    <row r="290" spans="1:44" x14ac:dyDescent="0.25">
      <c r="A290">
        <v>-11.727485778275877</v>
      </c>
      <c r="C290">
        <v>4.8934844218892977</v>
      </c>
      <c r="E290">
        <f t="shared" si="12"/>
        <v>4.8934844218892977</v>
      </c>
      <c r="AE290">
        <f t="shared" si="14"/>
        <v>-0.64879988497631946</v>
      </c>
      <c r="AR290">
        <f t="shared" si="13"/>
        <v>0.11552057212065296</v>
      </c>
    </row>
    <row r="291" spans="1:44" x14ac:dyDescent="0.25">
      <c r="A291">
        <v>7.9728402144683059</v>
      </c>
      <c r="C291">
        <v>2.5325157568731811</v>
      </c>
      <c r="E291">
        <f t="shared" si="12"/>
        <v>2.5325157568731811</v>
      </c>
      <c r="AE291">
        <f t="shared" si="14"/>
        <v>-0.97261150205784563</v>
      </c>
      <c r="AR291">
        <f t="shared" si="13"/>
        <v>5.9654502806673483E-2</v>
      </c>
    </row>
    <row r="292" spans="1:44" x14ac:dyDescent="0.25">
      <c r="A292">
        <v>8.1426769813406281</v>
      </c>
      <c r="C292">
        <v>-4.7543898997828364</v>
      </c>
      <c r="E292">
        <f t="shared" si="12"/>
        <v>4.7543898997828364</v>
      </c>
      <c r="AE292">
        <f t="shared" si="14"/>
        <v>-0.66787697939009383</v>
      </c>
      <c r="AR292">
        <f t="shared" si="13"/>
        <v>0.11222926871271834</v>
      </c>
    </row>
    <row r="293" spans="1:44" x14ac:dyDescent="0.25">
      <c r="A293">
        <v>11.120169367321068</v>
      </c>
      <c r="C293">
        <v>-12.571224013110623</v>
      </c>
      <c r="E293">
        <f t="shared" si="12"/>
        <v>12.571224013110623</v>
      </c>
      <c r="AE293">
        <f t="shared" si="14"/>
        <v>0.40421759441799604</v>
      </c>
      <c r="AR293">
        <f t="shared" si="13"/>
        <v>0.29719394141754157</v>
      </c>
    </row>
    <row r="294" spans="1:44" x14ac:dyDescent="0.25">
      <c r="A294">
        <v>-6.5270405482733622</v>
      </c>
      <c r="C294">
        <v>5.0879912325472105</v>
      </c>
      <c r="E294">
        <f t="shared" si="12"/>
        <v>5.0879912325472105</v>
      </c>
      <c r="AE294">
        <f t="shared" si="14"/>
        <v>-0.62212288336008703</v>
      </c>
      <c r="AR294">
        <f t="shared" si="13"/>
        <v>0.12012306055146908</v>
      </c>
    </row>
    <row r="295" spans="1:44" x14ac:dyDescent="0.25">
      <c r="A295">
        <v>-1.1246874944772571</v>
      </c>
      <c r="C295">
        <v>7.5190250956511591</v>
      </c>
      <c r="E295">
        <f t="shared" si="12"/>
        <v>7.5190250956511591</v>
      </c>
      <c r="AE295">
        <f t="shared" si="14"/>
        <v>-0.28870168296212861</v>
      </c>
      <c r="AR295">
        <f t="shared" si="13"/>
        <v>0.17764703717733815</v>
      </c>
    </row>
    <row r="296" spans="1:44" x14ac:dyDescent="0.25">
      <c r="A296">
        <v>5.22499524068553</v>
      </c>
      <c r="C296">
        <v>-5.1890601551276632</v>
      </c>
      <c r="E296">
        <f t="shared" si="12"/>
        <v>5.1890601551276632</v>
      </c>
      <c r="AE296">
        <f t="shared" si="14"/>
        <v>-0.60826107666082685</v>
      </c>
      <c r="AR296">
        <f t="shared" si="13"/>
        <v>0.12251458887542938</v>
      </c>
    </row>
    <row r="297" spans="1:44" x14ac:dyDescent="0.25">
      <c r="A297">
        <v>22.60439307265915</v>
      </c>
      <c r="C297">
        <v>12.13360794482287</v>
      </c>
      <c r="E297">
        <f t="shared" si="12"/>
        <v>12.13360794482287</v>
      </c>
      <c r="AE297">
        <f t="shared" si="14"/>
        <v>0.34419766749865699</v>
      </c>
      <c r="AR297">
        <f t="shared" si="13"/>
        <v>0.28683891639491688</v>
      </c>
    </row>
    <row r="298" spans="1:44" x14ac:dyDescent="0.25">
      <c r="A298">
        <v>-12.571224013110623</v>
      </c>
      <c r="C298">
        <v>24.242984202108346</v>
      </c>
      <c r="E298">
        <f t="shared" si="12"/>
        <v>24.242984202108346</v>
      </c>
      <c r="AE298">
        <f t="shared" si="14"/>
        <v>2.005023059136577</v>
      </c>
      <c r="AR298">
        <f t="shared" si="13"/>
        <v>0.57337522810575003</v>
      </c>
    </row>
    <row r="299" spans="1:44" x14ac:dyDescent="0.25">
      <c r="A299">
        <v>8.4901721695205197</v>
      </c>
      <c r="C299">
        <v>2.8888671497115865</v>
      </c>
      <c r="E299">
        <f t="shared" si="12"/>
        <v>2.8888671497115865</v>
      </c>
      <c r="AE299">
        <f t="shared" si="14"/>
        <v>-0.92373718937675353</v>
      </c>
      <c r="AR299">
        <f t="shared" si="13"/>
        <v>6.8086614552768002E-2</v>
      </c>
    </row>
    <row r="300" spans="1:44" x14ac:dyDescent="0.25">
      <c r="A300">
        <v>8.8781853466643952</v>
      </c>
      <c r="C300">
        <v>7.6713768268818967</v>
      </c>
      <c r="E300">
        <f t="shared" si="12"/>
        <v>7.6713768268818967</v>
      </c>
      <c r="AE300">
        <f t="shared" si="14"/>
        <v>-0.26780633556256517</v>
      </c>
      <c r="AR300">
        <f t="shared" si="13"/>
        <v>0.18125203732120207</v>
      </c>
    </row>
    <row r="301" spans="1:44" x14ac:dyDescent="0.25">
      <c r="A301">
        <v>22.138231563265435</v>
      </c>
      <c r="C301">
        <v>3.4434770188527182</v>
      </c>
      <c r="E301">
        <f t="shared" si="12"/>
        <v>3.4434770188527182</v>
      </c>
      <c r="AE301">
        <f t="shared" si="14"/>
        <v>-0.84767132656500066</v>
      </c>
      <c r="AR301">
        <f t="shared" si="13"/>
        <v>8.1209987959099936E-2</v>
      </c>
    </row>
    <row r="302" spans="1:44" x14ac:dyDescent="0.25">
      <c r="A302">
        <v>-9.9512426257133484</v>
      </c>
      <c r="C302">
        <v>3.6302531245455611</v>
      </c>
      <c r="E302">
        <f t="shared" si="12"/>
        <v>3.6302531245455611</v>
      </c>
      <c r="AE302">
        <f t="shared" si="14"/>
        <v>-0.82205460673607533</v>
      </c>
      <c r="AR302">
        <f t="shared" si="13"/>
        <v>8.5629549735350932E-2</v>
      </c>
    </row>
    <row r="303" spans="1:44" x14ac:dyDescent="0.25">
      <c r="A303">
        <v>11.966704298363766</v>
      </c>
      <c r="C303">
        <v>4.9792725096340291</v>
      </c>
      <c r="E303">
        <f t="shared" si="12"/>
        <v>4.9792725096340291</v>
      </c>
      <c r="AE303">
        <f t="shared" si="14"/>
        <v>-0.63703387561305513</v>
      </c>
      <c r="AR303">
        <f t="shared" si="13"/>
        <v>0.11755051996675375</v>
      </c>
    </row>
    <row r="304" spans="1:44" x14ac:dyDescent="0.25">
      <c r="A304">
        <v>-7.7640442921547219</v>
      </c>
      <c r="C304">
        <v>5.7626316649548244</v>
      </c>
      <c r="E304">
        <f t="shared" si="12"/>
        <v>5.7626316649548244</v>
      </c>
      <c r="AE304">
        <f t="shared" si="14"/>
        <v>-0.52959458656246805</v>
      </c>
      <c r="AR304">
        <f t="shared" si="13"/>
        <v>0.13608663927971093</v>
      </c>
    </row>
    <row r="305" spans="1:44" x14ac:dyDescent="0.25">
      <c r="A305">
        <v>-2.8504536910913885</v>
      </c>
      <c r="C305">
        <v>11.517880031722598</v>
      </c>
      <c r="E305">
        <f t="shared" si="12"/>
        <v>11.517880031722598</v>
      </c>
      <c r="AE305">
        <f t="shared" si="14"/>
        <v>0.25974934161548752</v>
      </c>
      <c r="AR305">
        <f t="shared" si="13"/>
        <v>0.2722693463783758</v>
      </c>
    </row>
    <row r="306" spans="1:44" x14ac:dyDescent="0.25">
      <c r="A306">
        <v>3.7192926558491308</v>
      </c>
      <c r="C306">
        <v>-0.35900664242217317</v>
      </c>
      <c r="E306">
        <f t="shared" si="12"/>
        <v>0.35900664242217317</v>
      </c>
      <c r="AE306">
        <f t="shared" si="14"/>
        <v>-1.2707126634669541</v>
      </c>
      <c r="AR306">
        <f t="shared" si="13"/>
        <v>8.2241671814197413E-3</v>
      </c>
    </row>
    <row r="307" spans="1:44" x14ac:dyDescent="0.25">
      <c r="A307">
        <v>30.270978661254048</v>
      </c>
      <c r="C307">
        <v>2.5094032227643766</v>
      </c>
      <c r="E307">
        <f t="shared" si="12"/>
        <v>2.5094032227643766</v>
      </c>
      <c r="AE307">
        <f t="shared" si="14"/>
        <v>-0.97578143275430951</v>
      </c>
      <c r="AR307">
        <f t="shared" si="13"/>
        <v>5.9107605911480947E-2</v>
      </c>
    </row>
    <row r="308" spans="1:44" x14ac:dyDescent="0.25">
      <c r="A308">
        <v>-2.87391865439713</v>
      </c>
      <c r="C308">
        <v>1.4869151729799341</v>
      </c>
      <c r="E308">
        <f t="shared" si="12"/>
        <v>1.4869151729799341</v>
      </c>
      <c r="AE308">
        <f t="shared" si="14"/>
        <v>-1.1160177322669829</v>
      </c>
      <c r="AR308">
        <f t="shared" si="13"/>
        <v>3.4913134757166203E-2</v>
      </c>
    </row>
    <row r="309" spans="1:44" x14ac:dyDescent="0.25">
      <c r="A309">
        <v>4.9087298268277664</v>
      </c>
      <c r="C309">
        <v>8.1235548552358523</v>
      </c>
      <c r="E309">
        <f t="shared" si="12"/>
        <v>8.1235548552358523</v>
      </c>
      <c r="AE309">
        <f t="shared" si="14"/>
        <v>-0.20578920643263196</v>
      </c>
      <c r="AR309">
        <f t="shared" si="13"/>
        <v>0.19195163255454592</v>
      </c>
    </row>
    <row r="310" spans="1:44" x14ac:dyDescent="0.25">
      <c r="A310">
        <v>-17.223198463208973</v>
      </c>
      <c r="C310">
        <v>7.5075313563575037</v>
      </c>
      <c r="E310">
        <f t="shared" si="12"/>
        <v>7.5075313563575037</v>
      </c>
      <c r="AE310">
        <f t="shared" si="14"/>
        <v>-0.29027807250178672</v>
      </c>
      <c r="AR310">
        <f t="shared" si="13"/>
        <v>0.17737506828356561</v>
      </c>
    </row>
    <row r="311" spans="1:44" x14ac:dyDescent="0.25">
      <c r="A311">
        <v>2.38892928083078</v>
      </c>
      <c r="C311">
        <v>0.60610366036416963</v>
      </c>
      <c r="E311">
        <f t="shared" si="12"/>
        <v>0.60610366036416963</v>
      </c>
      <c r="AE311">
        <f t="shared" si="14"/>
        <v>-1.2368228087893298</v>
      </c>
      <c r="AR311">
        <f t="shared" si="13"/>
        <v>1.4071063557543811E-2</v>
      </c>
    </row>
    <row r="312" spans="1:44" x14ac:dyDescent="0.25">
      <c r="A312">
        <v>17.681752999313176</v>
      </c>
      <c r="C312">
        <v>7.0910964697832242</v>
      </c>
      <c r="E312">
        <f t="shared" si="12"/>
        <v>7.0910964697832242</v>
      </c>
      <c r="AE312">
        <f t="shared" si="14"/>
        <v>-0.34739295760334687</v>
      </c>
      <c r="AR312">
        <f t="shared" si="13"/>
        <v>0.1675212398177994</v>
      </c>
    </row>
    <row r="313" spans="1:44" x14ac:dyDescent="0.25">
      <c r="A313">
        <v>19.841962077596691</v>
      </c>
      <c r="C313">
        <v>15.388871381408535</v>
      </c>
      <c r="E313">
        <f t="shared" si="12"/>
        <v>15.388871381408535</v>
      </c>
      <c r="AE313">
        <f t="shared" si="14"/>
        <v>0.79066361727862777</v>
      </c>
      <c r="AR313">
        <f t="shared" si="13"/>
        <v>0.36386610251486323</v>
      </c>
    </row>
    <row r="314" spans="1:44" x14ac:dyDescent="0.25">
      <c r="A314">
        <v>10.533317911002086</v>
      </c>
      <c r="C314">
        <v>13.031097316532396</v>
      </c>
      <c r="E314">
        <f t="shared" si="12"/>
        <v>13.031097316532396</v>
      </c>
      <c r="AE314">
        <f t="shared" si="14"/>
        <v>0.46729014605332708</v>
      </c>
      <c r="AR314">
        <f t="shared" si="13"/>
        <v>0.30807562495078494</v>
      </c>
    </row>
    <row r="315" spans="1:44" x14ac:dyDescent="0.25">
      <c r="A315">
        <v>10.180922820116393</v>
      </c>
      <c r="C315">
        <v>1.0044737084244844</v>
      </c>
      <c r="E315">
        <f t="shared" si="12"/>
        <v>1.0044737084244844</v>
      </c>
      <c r="AE315">
        <f t="shared" si="14"/>
        <v>-1.1821855527466389</v>
      </c>
      <c r="AR315">
        <f t="shared" si="13"/>
        <v>2.349743547315707E-2</v>
      </c>
    </row>
    <row r="316" spans="1:44" x14ac:dyDescent="0.25">
      <c r="A316">
        <v>8.3737795850611292</v>
      </c>
      <c r="C316">
        <v>19.017345968866721</v>
      </c>
      <c r="E316">
        <f t="shared" si="12"/>
        <v>19.017345968866721</v>
      </c>
      <c r="AE316">
        <f t="shared" si="14"/>
        <v>1.2883162295787738</v>
      </c>
      <c r="AR316">
        <f t="shared" si="13"/>
        <v>0.44972434189372784</v>
      </c>
    </row>
    <row r="317" spans="1:44" x14ac:dyDescent="0.25">
      <c r="A317">
        <v>11.480465693428414</v>
      </c>
      <c r="C317">
        <v>8.7929656931082718</v>
      </c>
      <c r="E317">
        <f t="shared" si="12"/>
        <v>8.7929656931082718</v>
      </c>
      <c r="AE317">
        <f t="shared" si="14"/>
        <v>-0.1139781590793678</v>
      </c>
      <c r="AR317">
        <f t="shared" si="13"/>
        <v>0.20779146678117016</v>
      </c>
    </row>
    <row r="318" spans="1:44" x14ac:dyDescent="0.25">
      <c r="A318">
        <v>3.9337856125785038</v>
      </c>
      <c r="C318">
        <v>2.2206841296865605</v>
      </c>
      <c r="E318">
        <f t="shared" si="12"/>
        <v>2.2206841296865605</v>
      </c>
      <c r="AE318">
        <f t="shared" si="14"/>
        <v>-1.0153798390343867</v>
      </c>
      <c r="AR318">
        <f t="shared" si="13"/>
        <v>5.2275833383045242E-2</v>
      </c>
    </row>
    <row r="319" spans="1:44" x14ac:dyDescent="0.25">
      <c r="A319">
        <v>-2.6459992821328342</v>
      </c>
      <c r="C319">
        <v>9.2844907359976787</v>
      </c>
      <c r="E319">
        <f t="shared" si="12"/>
        <v>9.2844907359976787</v>
      </c>
      <c r="AE319">
        <f t="shared" si="14"/>
        <v>-4.6564507499625686E-2</v>
      </c>
      <c r="AR319">
        <f t="shared" si="13"/>
        <v>0.21942210488429337</v>
      </c>
    </row>
    <row r="320" spans="1:44" x14ac:dyDescent="0.25">
      <c r="A320">
        <v>-5.0767148220911622</v>
      </c>
      <c r="C320">
        <v>18.488224688742775</v>
      </c>
      <c r="E320">
        <f t="shared" si="12"/>
        <v>18.488224688742775</v>
      </c>
      <c r="AE320">
        <f t="shared" si="14"/>
        <v>1.2157461781892895</v>
      </c>
      <c r="AR320">
        <f t="shared" si="13"/>
        <v>0.4372040884278886</v>
      </c>
    </row>
    <row r="321" spans="1:44" x14ac:dyDescent="0.25">
      <c r="A321">
        <v>3.5214207147946581</v>
      </c>
      <c r="C321">
        <v>10.717808911256725</v>
      </c>
      <c r="E321">
        <f t="shared" si="12"/>
        <v>10.717808911256725</v>
      </c>
      <c r="AE321">
        <f t="shared" si="14"/>
        <v>0.15001797281880999</v>
      </c>
      <c r="AR321">
        <f t="shared" si="13"/>
        <v>0.2533377826798146</v>
      </c>
    </row>
    <row r="322" spans="1:44" x14ac:dyDescent="0.25">
      <c r="A322">
        <v>5.5290393194882199</v>
      </c>
      <c r="C322">
        <v>3.8847183734178543</v>
      </c>
      <c r="E322">
        <f t="shared" si="12"/>
        <v>3.8847183734178543</v>
      </c>
      <c r="AE322">
        <f t="shared" si="14"/>
        <v>-0.78715418431652251</v>
      </c>
      <c r="AR322">
        <f t="shared" si="13"/>
        <v>9.1650795778191366E-2</v>
      </c>
    </row>
    <row r="323" spans="1:44" x14ac:dyDescent="0.25">
      <c r="A323">
        <v>1.803339748410508</v>
      </c>
      <c r="C323">
        <v>-2.6459992821328342</v>
      </c>
      <c r="E323">
        <f t="shared" ref="E323:E386" si="15">ABS(C323)</f>
        <v>2.6459992821328342</v>
      </c>
      <c r="AE323">
        <f t="shared" si="14"/>
        <v>-0.95704700754720395</v>
      </c>
      <c r="AR323">
        <f t="shared" ref="AR323:AR386" si="16">(AE323 - $AJ$13)/($AJ$14 - $AJ$13)</f>
        <v>6.2339789817082505E-2</v>
      </c>
    </row>
    <row r="324" spans="1:44" x14ac:dyDescent="0.25">
      <c r="A324">
        <v>13.031097316532396</v>
      </c>
      <c r="C324">
        <v>-7.4033841681666672</v>
      </c>
      <c r="E324">
        <f t="shared" si="15"/>
        <v>7.4033841681666672</v>
      </c>
      <c r="AE324">
        <f t="shared" ref="AE324:AE387" si="17">STANDARDIZE(E324,$M$4,$M$8)</f>
        <v>-0.30456206954176379</v>
      </c>
      <c r="AR324">
        <f t="shared" si="16"/>
        <v>0.17491070095817987</v>
      </c>
    </row>
    <row r="325" spans="1:44" x14ac:dyDescent="0.25">
      <c r="A325">
        <v>27.213348423363641</v>
      </c>
      <c r="C325">
        <v>1.4594598016701639</v>
      </c>
      <c r="E325">
        <f t="shared" si="15"/>
        <v>1.4594598016701639</v>
      </c>
      <c r="AE325">
        <f t="shared" si="17"/>
        <v>-1.1197832918498456</v>
      </c>
      <c r="AR325">
        <f t="shared" si="16"/>
        <v>3.4263476123673864E-2</v>
      </c>
    </row>
    <row r="326" spans="1:44" x14ac:dyDescent="0.25">
      <c r="A326">
        <v>-3.8157913675531745</v>
      </c>
      <c r="C326">
        <v>2.6661660032987129</v>
      </c>
      <c r="E326">
        <f t="shared" si="15"/>
        <v>2.6661660032987129</v>
      </c>
      <c r="AE326">
        <f t="shared" si="17"/>
        <v>-0.9542811010408121</v>
      </c>
      <c r="AR326">
        <f t="shared" si="16"/>
        <v>6.281698185236137E-2</v>
      </c>
    </row>
    <row r="327" spans="1:44" x14ac:dyDescent="0.25">
      <c r="A327">
        <v>1.9289182293578051</v>
      </c>
      <c r="C327">
        <v>6.6120883477269672</v>
      </c>
      <c r="E327">
        <f t="shared" si="15"/>
        <v>6.6120883477269672</v>
      </c>
      <c r="AE327">
        <f t="shared" si="17"/>
        <v>-0.41308988823040493</v>
      </c>
      <c r="AR327">
        <f t="shared" si="16"/>
        <v>0.15618678148920004</v>
      </c>
    </row>
    <row r="328" spans="1:44" x14ac:dyDescent="0.25">
      <c r="A328">
        <v>20.1194943858427</v>
      </c>
      <c r="C328">
        <v>4.9520331433159299</v>
      </c>
      <c r="E328">
        <f t="shared" si="15"/>
        <v>4.9520331433159299</v>
      </c>
      <c r="AE328">
        <f t="shared" si="17"/>
        <v>-0.64076980967539032</v>
      </c>
      <c r="AR328">
        <f t="shared" si="16"/>
        <v>0.11690597251919777</v>
      </c>
    </row>
    <row r="329" spans="1:44" x14ac:dyDescent="0.25">
      <c r="A329">
        <v>15.363769327639602</v>
      </c>
      <c r="C329">
        <v>6.3784164214739576</v>
      </c>
      <c r="E329">
        <f t="shared" si="15"/>
        <v>6.3784164214739576</v>
      </c>
      <c r="AE329">
        <f t="shared" si="17"/>
        <v>-0.44513846448968603</v>
      </c>
      <c r="AR329">
        <f t="shared" si="16"/>
        <v>0.1506575543451826</v>
      </c>
    </row>
    <row r="330" spans="1:44" x14ac:dyDescent="0.25">
      <c r="A330">
        <v>10.05262722374755</v>
      </c>
      <c r="C330">
        <v>-5.3682533487444744</v>
      </c>
      <c r="E330">
        <f t="shared" si="15"/>
        <v>5.3682533487444744</v>
      </c>
      <c r="AE330">
        <f t="shared" si="17"/>
        <v>-0.58368436852621608</v>
      </c>
      <c r="AR330">
        <f t="shared" si="16"/>
        <v>0.12675472112433483</v>
      </c>
    </row>
    <row r="331" spans="1:44" x14ac:dyDescent="0.25">
      <c r="A331">
        <v>3.9960177875473164</v>
      </c>
      <c r="C331">
        <v>3.9960177875473164</v>
      </c>
      <c r="E331">
        <f t="shared" si="15"/>
        <v>3.9960177875473164</v>
      </c>
      <c r="AE331">
        <f t="shared" si="17"/>
        <v>-0.77188924505514456</v>
      </c>
      <c r="AR331">
        <f t="shared" si="16"/>
        <v>9.4284401584357108E-2</v>
      </c>
    </row>
    <row r="332" spans="1:44" x14ac:dyDescent="0.25">
      <c r="A332">
        <v>0.79878011293476447</v>
      </c>
      <c r="C332">
        <v>7.7685790731338784</v>
      </c>
      <c r="E332">
        <f t="shared" si="15"/>
        <v>7.7685790731338784</v>
      </c>
      <c r="AE332">
        <f t="shared" si="17"/>
        <v>-0.25447485132510028</v>
      </c>
      <c r="AR332">
        <f t="shared" si="16"/>
        <v>0.18355207099257254</v>
      </c>
    </row>
    <row r="333" spans="1:44" x14ac:dyDescent="0.25">
      <c r="A333">
        <v>-1.02766714716563</v>
      </c>
      <c r="C333">
        <v>1.8551582090440206</v>
      </c>
      <c r="E333">
        <f t="shared" si="15"/>
        <v>1.8551582090440206</v>
      </c>
      <c r="AE333">
        <f t="shared" si="17"/>
        <v>-1.0655124567189447</v>
      </c>
      <c r="AR333">
        <f t="shared" si="16"/>
        <v>4.36266307395477E-2</v>
      </c>
    </row>
    <row r="334" spans="1:44" x14ac:dyDescent="0.25">
      <c r="A334">
        <v>7.6292785908735823</v>
      </c>
      <c r="C334">
        <v>-10.242280930280685</v>
      </c>
      <c r="E334">
        <f t="shared" si="15"/>
        <v>10.242280930280685</v>
      </c>
      <c r="AE334">
        <f t="shared" si="17"/>
        <v>8.479835056418196E-2</v>
      </c>
      <c r="AR334">
        <f t="shared" si="16"/>
        <v>0.24208567267107681</v>
      </c>
    </row>
    <row r="335" spans="1:44" x14ac:dyDescent="0.25">
      <c r="A335">
        <v>10.995921022375114</v>
      </c>
      <c r="C335">
        <v>-6.3043507705442607</v>
      </c>
      <c r="E335">
        <f t="shared" si="15"/>
        <v>6.3043507705442607</v>
      </c>
      <c r="AE335">
        <f t="shared" si="17"/>
        <v>-0.45529671798670029</v>
      </c>
      <c r="AR335">
        <f t="shared" si="16"/>
        <v>0.14890498691388415</v>
      </c>
    </row>
    <row r="336" spans="1:44" x14ac:dyDescent="0.25">
      <c r="A336">
        <v>-0.81018422660417855</v>
      </c>
      <c r="C336">
        <v>8.5583387974184006</v>
      </c>
      <c r="E336">
        <f t="shared" si="15"/>
        <v>8.5583387974184006</v>
      </c>
      <c r="AE336">
        <f t="shared" si="17"/>
        <v>-0.14615771132413982</v>
      </c>
      <c r="AR336">
        <f t="shared" si="16"/>
        <v>0.20223964281511819</v>
      </c>
    </row>
    <row r="337" spans="1:44" x14ac:dyDescent="0.25">
      <c r="A337">
        <v>17.061068340088241</v>
      </c>
      <c r="C337">
        <v>6.3047359819465782</v>
      </c>
      <c r="E337">
        <f t="shared" si="15"/>
        <v>6.3047359819465782</v>
      </c>
      <c r="AE337">
        <f t="shared" si="17"/>
        <v>-0.45524388546547667</v>
      </c>
      <c r="AR337">
        <f t="shared" si="16"/>
        <v>0.14891410192130516</v>
      </c>
    </row>
    <row r="338" spans="1:44" x14ac:dyDescent="0.25">
      <c r="A338">
        <v>12.016408183815656</v>
      </c>
      <c r="C338">
        <v>12.92545950692147</v>
      </c>
      <c r="E338">
        <f t="shared" si="15"/>
        <v>12.92545950692147</v>
      </c>
      <c r="AE338">
        <f t="shared" si="17"/>
        <v>0.45280170727735941</v>
      </c>
      <c r="AR338">
        <f t="shared" si="16"/>
        <v>0.30557598601810954</v>
      </c>
    </row>
    <row r="339" spans="1:44" x14ac:dyDescent="0.25">
      <c r="A339">
        <v>0.11340764304623008</v>
      </c>
      <c r="C339">
        <v>-0.54047357279341668</v>
      </c>
      <c r="E339">
        <f t="shared" si="15"/>
        <v>0.54047357279341668</v>
      </c>
      <c r="AE339">
        <f t="shared" si="17"/>
        <v>-1.2458241077478414</v>
      </c>
      <c r="AR339">
        <f t="shared" si="16"/>
        <v>1.2518101387550232E-2</v>
      </c>
    </row>
    <row r="340" spans="1:44" x14ac:dyDescent="0.25">
      <c r="A340">
        <v>-6.2450062412535772</v>
      </c>
      <c r="C340">
        <v>14.345658221107442</v>
      </c>
      <c r="E340">
        <f t="shared" si="15"/>
        <v>14.345658221107442</v>
      </c>
      <c r="AE340">
        <f t="shared" si="17"/>
        <v>0.64758482703321796</v>
      </c>
      <c r="AR340">
        <f t="shared" si="16"/>
        <v>0.3391812265204423</v>
      </c>
    </row>
    <row r="341" spans="1:44" x14ac:dyDescent="0.25">
      <c r="A341">
        <v>-5.8191808218834922</v>
      </c>
      <c r="C341">
        <v>11.500792900013039</v>
      </c>
      <c r="E341">
        <f t="shared" si="15"/>
        <v>11.500792900013039</v>
      </c>
      <c r="AE341">
        <f t="shared" si="17"/>
        <v>0.25740580701795418</v>
      </c>
      <c r="AR341">
        <f t="shared" si="16"/>
        <v>0.27186502466982959</v>
      </c>
    </row>
    <row r="342" spans="1:44" x14ac:dyDescent="0.25">
      <c r="A342">
        <v>-2.1098976301727816</v>
      </c>
      <c r="C342">
        <v>-7.6614987645298243</v>
      </c>
      <c r="E342">
        <f t="shared" si="15"/>
        <v>7.6614987645298243</v>
      </c>
      <c r="AE342">
        <f t="shared" si="17"/>
        <v>-0.26916113174908501</v>
      </c>
      <c r="AR342">
        <f t="shared" si="16"/>
        <v>0.1810182991423665</v>
      </c>
    </row>
    <row r="343" spans="1:44" x14ac:dyDescent="0.25">
      <c r="A343">
        <v>9.4512806956190616</v>
      </c>
      <c r="C343">
        <v>7.2837501849862747</v>
      </c>
      <c r="E343">
        <f t="shared" si="15"/>
        <v>7.2837501849862747</v>
      </c>
      <c r="AE343">
        <f t="shared" si="17"/>
        <v>-0.32097011176848372</v>
      </c>
      <c r="AR343">
        <f t="shared" si="16"/>
        <v>0.17207987965347707</v>
      </c>
    </row>
    <row r="344" spans="1:44" x14ac:dyDescent="0.25">
      <c r="A344">
        <v>3.1245627016760409</v>
      </c>
      <c r="C344">
        <v>1.9289182293578051</v>
      </c>
      <c r="E344">
        <f t="shared" si="15"/>
        <v>1.9289182293578051</v>
      </c>
      <c r="AE344">
        <f t="shared" si="17"/>
        <v>-1.0553961210776965</v>
      </c>
      <c r="AR344">
        <f t="shared" si="16"/>
        <v>4.5371966231928011E-2</v>
      </c>
    </row>
    <row r="345" spans="1:44" x14ac:dyDescent="0.25">
      <c r="A345">
        <v>3.6964613362215459E-2</v>
      </c>
      <c r="C345">
        <v>22.789111446589231</v>
      </c>
      <c r="E345">
        <f t="shared" si="15"/>
        <v>22.789111446589231</v>
      </c>
      <c r="AE345">
        <f t="shared" si="17"/>
        <v>1.8056214766542424</v>
      </c>
      <c r="AR345">
        <f t="shared" si="16"/>
        <v>0.53897318061691457</v>
      </c>
    </row>
    <row r="346" spans="1:44" x14ac:dyDescent="0.25">
      <c r="A346">
        <v>4.8565361996297725</v>
      </c>
      <c r="C346">
        <v>1.497317518631462</v>
      </c>
      <c r="E346">
        <f t="shared" si="15"/>
        <v>1.497317518631462</v>
      </c>
      <c r="AE346">
        <f t="shared" si="17"/>
        <v>-1.1145910295678856</v>
      </c>
      <c r="AR346">
        <f t="shared" si="16"/>
        <v>3.5159278711470787E-2</v>
      </c>
    </row>
    <row r="347" spans="1:44" x14ac:dyDescent="0.25">
      <c r="A347">
        <v>13.589595275523607</v>
      </c>
      <c r="C347">
        <v>8.1893454282253515</v>
      </c>
      <c r="E347">
        <f t="shared" si="15"/>
        <v>8.1893454282253515</v>
      </c>
      <c r="AE347">
        <f t="shared" si="17"/>
        <v>-0.1967658965750636</v>
      </c>
      <c r="AR347">
        <f t="shared" si="16"/>
        <v>0.19350839218685245</v>
      </c>
    </row>
    <row r="348" spans="1:44" x14ac:dyDescent="0.25">
      <c r="A348">
        <v>7.3665596775826998</v>
      </c>
      <c r="C348">
        <v>26.490209185983986</v>
      </c>
      <c r="E348">
        <f t="shared" si="15"/>
        <v>26.490209185983986</v>
      </c>
      <c r="AE348">
        <f t="shared" si="17"/>
        <v>2.3132345008033854</v>
      </c>
      <c r="AR348">
        <f t="shared" si="16"/>
        <v>0.62654985450954692</v>
      </c>
    </row>
    <row r="349" spans="1:44" x14ac:dyDescent="0.25">
      <c r="A349">
        <v>11.517880031722598</v>
      </c>
      <c r="C349">
        <v>42.272670745849609</v>
      </c>
      <c r="E349">
        <f t="shared" si="15"/>
        <v>42.272670745849609</v>
      </c>
      <c r="AE349">
        <f t="shared" si="17"/>
        <v>4.4778309543493826</v>
      </c>
      <c r="AR349">
        <f t="shared" si="16"/>
        <v>1</v>
      </c>
    </row>
    <row r="350" spans="1:44" x14ac:dyDescent="0.25">
      <c r="A350">
        <v>-11.90174496313557</v>
      </c>
      <c r="C350">
        <v>-1.5747282102820463</v>
      </c>
      <c r="E350">
        <f t="shared" si="15"/>
        <v>1.5747282102820463</v>
      </c>
      <c r="AE350">
        <f t="shared" si="17"/>
        <v>-1.1039739969853697</v>
      </c>
      <c r="AR350">
        <f t="shared" si="16"/>
        <v>3.6990997670504552E-2</v>
      </c>
    </row>
    <row r="351" spans="1:44" x14ac:dyDescent="0.25">
      <c r="A351">
        <v>-7.5683210323331878</v>
      </c>
      <c r="C351">
        <v>2.6661660032987129</v>
      </c>
      <c r="E351">
        <f t="shared" si="15"/>
        <v>2.6661660032987129</v>
      </c>
      <c r="AE351">
        <f t="shared" si="17"/>
        <v>-0.9542811010408121</v>
      </c>
      <c r="AR351">
        <f t="shared" si="16"/>
        <v>6.281698185236137E-2</v>
      </c>
    </row>
    <row r="352" spans="1:44" x14ac:dyDescent="0.25">
      <c r="A352">
        <v>6.0035909175057895</v>
      </c>
      <c r="C352">
        <v>-8.1071511683985591</v>
      </c>
      <c r="E352">
        <f t="shared" si="15"/>
        <v>8.1071511683985591</v>
      </c>
      <c r="AE352">
        <f t="shared" si="17"/>
        <v>-0.20803900518667284</v>
      </c>
      <c r="AR352">
        <f t="shared" si="16"/>
        <v>0.19156348275847451</v>
      </c>
    </row>
    <row r="353" spans="1:44" x14ac:dyDescent="0.25">
      <c r="A353">
        <v>1.8477685645921156</v>
      </c>
      <c r="C353">
        <v>1.7718030196265317</v>
      </c>
      <c r="E353">
        <f t="shared" si="15"/>
        <v>1.7718030196265317</v>
      </c>
      <c r="AE353">
        <f t="shared" si="17"/>
        <v>-1.0769447891667918</v>
      </c>
      <c r="AR353">
        <f t="shared" si="16"/>
        <v>4.1654250987677693E-2</v>
      </c>
    </row>
    <row r="354" spans="1:44" x14ac:dyDescent="0.25">
      <c r="A354">
        <v>5.4524598655989394</v>
      </c>
      <c r="C354">
        <v>1.9610688670654781</v>
      </c>
      <c r="E354">
        <f t="shared" si="15"/>
        <v>1.9610688670654781</v>
      </c>
      <c r="AE354">
        <f t="shared" si="17"/>
        <v>-1.0509865962328366</v>
      </c>
      <c r="AR354">
        <f t="shared" si="16"/>
        <v>4.6132725907090111E-2</v>
      </c>
    </row>
    <row r="355" spans="1:44" x14ac:dyDescent="0.25">
      <c r="A355">
        <v>-6.5777903526322916</v>
      </c>
      <c r="C355">
        <v>5.3147168930154294</v>
      </c>
      <c r="E355">
        <f t="shared" si="15"/>
        <v>5.3147168930154294</v>
      </c>
      <c r="AE355">
        <f t="shared" si="17"/>
        <v>-0.59102700147145992</v>
      </c>
      <c r="AR355">
        <f t="shared" si="16"/>
        <v>0.12548792271616402</v>
      </c>
    </row>
    <row r="356" spans="1:44" x14ac:dyDescent="0.25">
      <c r="A356">
        <v>-5.1726665131282061</v>
      </c>
      <c r="C356">
        <v>8.407464995078044</v>
      </c>
      <c r="E356">
        <f t="shared" si="15"/>
        <v>8.407464995078044</v>
      </c>
      <c r="AE356">
        <f t="shared" si="17"/>
        <v>-0.16685035779377685</v>
      </c>
      <c r="AR356">
        <f t="shared" si="16"/>
        <v>0.19866961394345065</v>
      </c>
    </row>
    <row r="357" spans="1:44" x14ac:dyDescent="0.25">
      <c r="A357">
        <v>13.608376341115218</v>
      </c>
      <c r="C357">
        <v>0.77894175975234248</v>
      </c>
      <c r="E357">
        <f t="shared" si="15"/>
        <v>0.77894175975234248</v>
      </c>
      <c r="AE357">
        <f t="shared" si="17"/>
        <v>-1.2131177146534027</v>
      </c>
      <c r="AR357">
        <f t="shared" si="16"/>
        <v>1.816081933600525E-2</v>
      </c>
    </row>
    <row r="358" spans="1:44" x14ac:dyDescent="0.25">
      <c r="A358">
        <v>20.555028661154211</v>
      </c>
      <c r="C358">
        <v>-0.27144504000898451</v>
      </c>
      <c r="E358">
        <f t="shared" si="15"/>
        <v>0.27144504000898451</v>
      </c>
      <c r="AE358">
        <f t="shared" si="17"/>
        <v>-1.2827219139461301</v>
      </c>
      <c r="AR358">
        <f t="shared" si="16"/>
        <v>6.1522538086834187E-3</v>
      </c>
    </row>
    <row r="359" spans="1:44" x14ac:dyDescent="0.25">
      <c r="A359">
        <v>7.2108655533229467</v>
      </c>
      <c r="C359">
        <v>5.3012336340616457</v>
      </c>
      <c r="E359">
        <f t="shared" si="15"/>
        <v>5.3012336340616457</v>
      </c>
      <c r="AE359">
        <f t="shared" si="17"/>
        <v>-0.59287625764755736</v>
      </c>
      <c r="AR359">
        <f t="shared" si="16"/>
        <v>0.12516887710981953</v>
      </c>
    </row>
    <row r="360" spans="1:44" x14ac:dyDescent="0.25">
      <c r="A360">
        <v>-1.5168161351466551</v>
      </c>
      <c r="C360">
        <v>19.077895578637253</v>
      </c>
      <c r="E360">
        <f t="shared" si="15"/>
        <v>19.077895578637253</v>
      </c>
      <c r="AE360">
        <f t="shared" si="17"/>
        <v>1.2966207307540649</v>
      </c>
      <c r="AR360">
        <f t="shared" si="16"/>
        <v>0.45115708801463072</v>
      </c>
    </row>
    <row r="361" spans="1:44" x14ac:dyDescent="0.25">
      <c r="A361">
        <v>23.49165062897373</v>
      </c>
      <c r="C361">
        <v>5.9770564095815644</v>
      </c>
      <c r="E361">
        <f t="shared" si="15"/>
        <v>5.9770564095815644</v>
      </c>
      <c r="AE361">
        <f t="shared" si="17"/>
        <v>-0.50018580010599722</v>
      </c>
      <c r="AR361">
        <f t="shared" si="16"/>
        <v>0.14116043285581842</v>
      </c>
    </row>
    <row r="362" spans="1:44" x14ac:dyDescent="0.25">
      <c r="A362">
        <v>-5.5250502353301272</v>
      </c>
      <c r="C362">
        <v>16.091842573776376</v>
      </c>
      <c r="E362">
        <f t="shared" si="15"/>
        <v>16.091842573776376</v>
      </c>
      <c r="AE362">
        <f t="shared" si="17"/>
        <v>0.88707753497914299</v>
      </c>
      <c r="AR362">
        <f t="shared" si="16"/>
        <v>0.38050005363012906</v>
      </c>
    </row>
    <row r="363" spans="1:44" x14ac:dyDescent="0.25">
      <c r="A363">
        <v>8.9619157026463654</v>
      </c>
      <c r="C363">
        <v>10.225601747340988</v>
      </c>
      <c r="E363">
        <f t="shared" si="15"/>
        <v>10.225601747340988</v>
      </c>
      <c r="AE363">
        <f t="shared" si="17"/>
        <v>8.2510766963717258E-2</v>
      </c>
      <c r="AR363">
        <f t="shared" si="16"/>
        <v>0.24169100398952387</v>
      </c>
    </row>
    <row r="364" spans="1:44" x14ac:dyDescent="0.25">
      <c r="A364">
        <v>8.3098732109647244E-2</v>
      </c>
      <c r="C364">
        <v>6.6120883477269672</v>
      </c>
      <c r="E364">
        <f t="shared" si="15"/>
        <v>6.6120883477269672</v>
      </c>
      <c r="AE364">
        <f t="shared" si="17"/>
        <v>-0.41308988823040493</v>
      </c>
      <c r="AR364">
        <f t="shared" si="16"/>
        <v>0.15618678148920004</v>
      </c>
    </row>
    <row r="365" spans="1:44" x14ac:dyDescent="0.25">
      <c r="A365">
        <v>6.9404273037507664</v>
      </c>
      <c r="C365">
        <v>0.22566202661255375</v>
      </c>
      <c r="E365">
        <f t="shared" si="15"/>
        <v>0.22566202661255375</v>
      </c>
      <c r="AE365">
        <f t="shared" si="17"/>
        <v>-1.2890011466282218</v>
      </c>
      <c r="AR365">
        <f t="shared" si="16"/>
        <v>5.0689200746499592E-3</v>
      </c>
    </row>
    <row r="366" spans="1:44" x14ac:dyDescent="0.25">
      <c r="A366">
        <v>4.4112362249579746</v>
      </c>
      <c r="C366">
        <v>10.922388375736773</v>
      </c>
      <c r="E366">
        <f t="shared" si="15"/>
        <v>10.922388375736773</v>
      </c>
      <c r="AE366">
        <f t="shared" si="17"/>
        <v>0.17807645923438672</v>
      </c>
      <c r="AR366">
        <f t="shared" si="16"/>
        <v>0.2581786137811376</v>
      </c>
    </row>
    <row r="367" spans="1:44" x14ac:dyDescent="0.25">
      <c r="A367">
        <v>21.749922800343484</v>
      </c>
      <c r="C367">
        <v>9.4729266695212573</v>
      </c>
      <c r="E367">
        <f t="shared" si="15"/>
        <v>9.4729266695212573</v>
      </c>
      <c r="AE367">
        <f t="shared" si="17"/>
        <v>-2.07201389340139E-2</v>
      </c>
      <c r="AR367">
        <f t="shared" si="16"/>
        <v>0.22388094208931861</v>
      </c>
    </row>
    <row r="368" spans="1:44" x14ac:dyDescent="0.25">
      <c r="A368">
        <v>7.6109067978977691</v>
      </c>
      <c r="C368">
        <v>12.790308594238013</v>
      </c>
      <c r="E368">
        <f t="shared" si="15"/>
        <v>12.790308594238013</v>
      </c>
      <c r="AE368">
        <f t="shared" si="17"/>
        <v>0.43426548685455441</v>
      </c>
      <c r="AR368">
        <f t="shared" si="16"/>
        <v>0.30237799768065315</v>
      </c>
    </row>
    <row r="369" spans="1:44" x14ac:dyDescent="0.25">
      <c r="A369">
        <v>8.1771013558027335</v>
      </c>
      <c r="C369">
        <v>17.14558313525049</v>
      </c>
      <c r="E369">
        <f t="shared" si="15"/>
        <v>17.14558313525049</v>
      </c>
      <c r="AE369">
        <f t="shared" si="17"/>
        <v>1.0316001795407976</v>
      </c>
      <c r="AR369">
        <f t="shared" si="16"/>
        <v>0.40543403268650197</v>
      </c>
    </row>
    <row r="370" spans="1:44" x14ac:dyDescent="0.25">
      <c r="A370">
        <v>6.4659439178358298</v>
      </c>
      <c r="C370">
        <v>10.300157575518824</v>
      </c>
      <c r="E370">
        <f t="shared" si="15"/>
        <v>10.300157575518824</v>
      </c>
      <c r="AE370">
        <f t="shared" si="17"/>
        <v>9.2736249259541215E-2</v>
      </c>
      <c r="AR370">
        <f t="shared" si="16"/>
        <v>0.24345517016693294</v>
      </c>
    </row>
    <row r="371" spans="1:44" x14ac:dyDescent="0.25">
      <c r="A371">
        <v>9.9425897335167974</v>
      </c>
      <c r="C371">
        <v>24.381864043069072</v>
      </c>
      <c r="E371">
        <f t="shared" si="15"/>
        <v>24.381864043069072</v>
      </c>
      <c r="AE371">
        <f t="shared" si="17"/>
        <v>2.0240707095979658</v>
      </c>
      <c r="AR371">
        <f t="shared" si="16"/>
        <v>0.5766614516530556</v>
      </c>
    </row>
    <row r="372" spans="1:44" x14ac:dyDescent="0.25">
      <c r="A372">
        <v>-7.3808741742977872</v>
      </c>
      <c r="C372">
        <v>9.1657903087325394</v>
      </c>
      <c r="E372">
        <f t="shared" si="15"/>
        <v>9.1657903087325394</v>
      </c>
      <c r="AE372">
        <f t="shared" si="17"/>
        <v>-6.2844510648557977E-2</v>
      </c>
      <c r="AR372">
        <f t="shared" si="16"/>
        <v>0.21661337370736011</v>
      </c>
    </row>
    <row r="373" spans="1:44" x14ac:dyDescent="0.25">
      <c r="A373">
        <v>2.9897301121382043</v>
      </c>
      <c r="C373">
        <v>-5.0158014144399203</v>
      </c>
      <c r="E373">
        <f t="shared" si="15"/>
        <v>5.0158014144399203</v>
      </c>
      <c r="AE373">
        <f t="shared" si="17"/>
        <v>-0.63202386259988708</v>
      </c>
      <c r="AR373">
        <f t="shared" si="16"/>
        <v>0.11841487973488127</v>
      </c>
    </row>
    <row r="374" spans="1:44" x14ac:dyDescent="0.25">
      <c r="A374">
        <v>15.46447312849341</v>
      </c>
      <c r="C374">
        <v>13.385936674429104</v>
      </c>
      <c r="E374">
        <f t="shared" si="15"/>
        <v>13.385936674429104</v>
      </c>
      <c r="AE374">
        <f t="shared" si="17"/>
        <v>0.51595708009072527</v>
      </c>
      <c r="AR374">
        <f t="shared" si="16"/>
        <v>0.31647195839532483</v>
      </c>
    </row>
    <row r="375" spans="1:44" x14ac:dyDescent="0.25">
      <c r="A375">
        <v>4.2442871037637815</v>
      </c>
      <c r="C375">
        <v>1.4850166027899832</v>
      </c>
      <c r="E375">
        <f t="shared" si="15"/>
        <v>1.4850166027899832</v>
      </c>
      <c r="AE375">
        <f t="shared" si="17"/>
        <v>-1.116278125000042</v>
      </c>
      <c r="AR375">
        <f t="shared" si="16"/>
        <v>3.4868210122883318E-2</v>
      </c>
    </row>
    <row r="376" spans="1:44" x14ac:dyDescent="0.25">
      <c r="A376">
        <v>6.5943077263073064</v>
      </c>
      <c r="C376">
        <v>10.013575794990174</v>
      </c>
      <c r="E376">
        <f t="shared" si="15"/>
        <v>10.013575794990174</v>
      </c>
      <c r="AE376">
        <f t="shared" si="17"/>
        <v>5.3430979708896154E-2</v>
      </c>
      <c r="AR376">
        <f t="shared" si="16"/>
        <v>0.23667397147828881</v>
      </c>
    </row>
    <row r="377" spans="1:44" x14ac:dyDescent="0.25">
      <c r="A377">
        <v>21.003318599658087</v>
      </c>
      <c r="C377">
        <v>13.181868800718803</v>
      </c>
      <c r="E377">
        <f t="shared" si="15"/>
        <v>13.181868800718803</v>
      </c>
      <c r="AE377">
        <f t="shared" si="17"/>
        <v>0.48796875938166157</v>
      </c>
      <c r="AR377">
        <f t="shared" si="16"/>
        <v>0.31164323273437738</v>
      </c>
    </row>
    <row r="378" spans="1:44" x14ac:dyDescent="0.25">
      <c r="A378">
        <v>-3.1488361653755419</v>
      </c>
      <c r="C378">
        <v>5.6573917592759244</v>
      </c>
      <c r="E378">
        <f t="shared" si="15"/>
        <v>5.6573917592759244</v>
      </c>
      <c r="AE378">
        <f t="shared" si="17"/>
        <v>-0.54402845201114791</v>
      </c>
      <c r="AR378">
        <f t="shared" si="16"/>
        <v>0.13359641568954991</v>
      </c>
    </row>
    <row r="379" spans="1:44" x14ac:dyDescent="0.25">
      <c r="A379">
        <v>14.129130269982852</v>
      </c>
      <c r="C379">
        <v>20.860346032539383</v>
      </c>
      <c r="E379">
        <f t="shared" si="15"/>
        <v>20.860346032539383</v>
      </c>
      <c r="AE379">
        <f t="shared" si="17"/>
        <v>1.5410874076727985</v>
      </c>
      <c r="AR379">
        <f t="shared" si="16"/>
        <v>0.49333405634205696</v>
      </c>
    </row>
    <row r="380" spans="1:44" x14ac:dyDescent="0.25">
      <c r="A380">
        <v>1.7718030196265317</v>
      </c>
      <c r="C380">
        <v>12.790308594238013</v>
      </c>
      <c r="E380">
        <f t="shared" si="15"/>
        <v>12.790308594238013</v>
      </c>
      <c r="AE380">
        <f t="shared" si="17"/>
        <v>0.43426548685455441</v>
      </c>
      <c r="AR380">
        <f t="shared" si="16"/>
        <v>0.30237799768065315</v>
      </c>
    </row>
    <row r="381" spans="1:44" x14ac:dyDescent="0.25">
      <c r="A381">
        <v>10.879301064240281</v>
      </c>
      <c r="C381">
        <v>-1.4329379862756468</v>
      </c>
      <c r="E381">
        <f t="shared" si="15"/>
        <v>1.4329379862756468</v>
      </c>
      <c r="AE381">
        <f t="shared" si="17"/>
        <v>-1.123420812354921</v>
      </c>
      <c r="AR381">
        <f t="shared" si="16"/>
        <v>3.3635907617950982E-2</v>
      </c>
    </row>
    <row r="382" spans="1:44" x14ac:dyDescent="0.25">
      <c r="A382">
        <v>4.6565610520774499</v>
      </c>
      <c r="C382">
        <v>-2.87391865439713</v>
      </c>
      <c r="E382">
        <f t="shared" si="15"/>
        <v>2.87391865439713</v>
      </c>
      <c r="AE382">
        <f t="shared" si="17"/>
        <v>-0.92578740567671314</v>
      </c>
      <c r="AR382">
        <f t="shared" si="16"/>
        <v>6.77328980093206E-2</v>
      </c>
    </row>
    <row r="383" spans="1:44" x14ac:dyDescent="0.25">
      <c r="A383">
        <v>0.22566202661255375</v>
      </c>
      <c r="C383">
        <v>19.748397810151801</v>
      </c>
      <c r="E383">
        <f t="shared" si="15"/>
        <v>19.748397810151801</v>
      </c>
      <c r="AE383">
        <f t="shared" si="17"/>
        <v>1.38858146494789</v>
      </c>
      <c r="AR383">
        <f t="shared" si="16"/>
        <v>0.46702274718072301</v>
      </c>
    </row>
    <row r="384" spans="1:44" x14ac:dyDescent="0.25">
      <c r="A384">
        <v>3.0408323456940707</v>
      </c>
      <c r="C384">
        <v>-5.0068883663625456</v>
      </c>
      <c r="E384">
        <f t="shared" si="15"/>
        <v>5.0068883663625456</v>
      </c>
      <c r="AE384">
        <f t="shared" si="17"/>
        <v>-0.63324630513113533</v>
      </c>
      <c r="AR384">
        <f t="shared" si="16"/>
        <v>0.11820397606255911</v>
      </c>
    </row>
    <row r="385" spans="1:44" x14ac:dyDescent="0.25">
      <c r="A385">
        <v>11.776244739128742</v>
      </c>
      <c r="C385">
        <v>2.842607975442661</v>
      </c>
      <c r="E385">
        <f t="shared" si="15"/>
        <v>2.842607975442661</v>
      </c>
      <c r="AE385">
        <f t="shared" si="17"/>
        <v>-0.93008172848344883</v>
      </c>
      <c r="AR385">
        <f t="shared" si="16"/>
        <v>6.6992013733024547E-2</v>
      </c>
    </row>
    <row r="386" spans="1:44" x14ac:dyDescent="0.25">
      <c r="A386">
        <v>13.476363185152877</v>
      </c>
      <c r="C386">
        <v>23.69287633174099</v>
      </c>
      <c r="E386">
        <f t="shared" si="15"/>
        <v>23.69287633174099</v>
      </c>
      <c r="AE386">
        <f t="shared" si="17"/>
        <v>1.9295746545421384</v>
      </c>
      <c r="AR386">
        <f t="shared" si="16"/>
        <v>0.5603583825747237</v>
      </c>
    </row>
    <row r="387" spans="1:44" x14ac:dyDescent="0.25">
      <c r="A387">
        <v>-5.7048118631355464</v>
      </c>
      <c r="C387">
        <v>11.243280843889806</v>
      </c>
      <c r="E387">
        <f t="shared" ref="E387:E450" si="18">ABS(C387)</f>
        <v>11.243280843889806</v>
      </c>
      <c r="AE387">
        <f t="shared" si="17"/>
        <v>0.22208750883516851</v>
      </c>
      <c r="AR387">
        <f t="shared" ref="AR387:AR450" si="19">(AE387 - $AJ$13)/($AJ$14 - $AJ$13)</f>
        <v>0.26577168400430762</v>
      </c>
    </row>
    <row r="388" spans="1:44" x14ac:dyDescent="0.25">
      <c r="A388">
        <v>6.575003701262176</v>
      </c>
      <c r="C388">
        <v>4.9007149047683924</v>
      </c>
      <c r="E388">
        <f t="shared" si="18"/>
        <v>4.9007149047683924</v>
      </c>
      <c r="AE388">
        <f t="shared" ref="AE388:AE451" si="20">STANDARDIZE(E388,$M$4,$M$8)</f>
        <v>-0.64780820965760277</v>
      </c>
      <c r="AR388">
        <f t="shared" si="19"/>
        <v>0.11569166234462859</v>
      </c>
    </row>
    <row r="389" spans="1:44" x14ac:dyDescent="0.25">
      <c r="A389">
        <v>20.33433977176901</v>
      </c>
      <c r="C389">
        <v>3.0018718664068729</v>
      </c>
      <c r="E389">
        <f t="shared" si="18"/>
        <v>3.0018718664068729</v>
      </c>
      <c r="AE389">
        <f t="shared" si="20"/>
        <v>-0.90823836442699901</v>
      </c>
      <c r="AR389">
        <f t="shared" si="19"/>
        <v>7.0760571826852525E-2</v>
      </c>
    </row>
    <row r="390" spans="1:44" x14ac:dyDescent="0.25">
      <c r="A390">
        <v>8.1464968590880744</v>
      </c>
      <c r="C390">
        <v>-5.7048118631355464</v>
      </c>
      <c r="E390">
        <f t="shared" si="18"/>
        <v>5.7048118631355464</v>
      </c>
      <c r="AE390">
        <f t="shared" si="20"/>
        <v>-0.53752468906821482</v>
      </c>
      <c r="AR390">
        <f t="shared" si="19"/>
        <v>0.13471848683278537</v>
      </c>
    </row>
    <row r="391" spans="1:44" x14ac:dyDescent="0.25">
      <c r="A391">
        <v>13.604806574410759</v>
      </c>
      <c r="C391">
        <v>20.46803549292963</v>
      </c>
      <c r="E391">
        <f t="shared" si="18"/>
        <v>20.46803549292963</v>
      </c>
      <c r="AE391">
        <f t="shared" si="20"/>
        <v>1.4872812254428056</v>
      </c>
      <c r="AR391">
        <f t="shared" si="19"/>
        <v>0.4840510666424484</v>
      </c>
    </row>
    <row r="392" spans="1:44" x14ac:dyDescent="0.25">
      <c r="A392">
        <v>12.289097432774724</v>
      </c>
      <c r="C392">
        <v>-6.2450062412535772</v>
      </c>
      <c r="E392">
        <f t="shared" si="18"/>
        <v>6.2450062412535772</v>
      </c>
      <c r="AE392">
        <f t="shared" si="20"/>
        <v>-0.46343593994220517</v>
      </c>
      <c r="AR392">
        <f t="shared" si="19"/>
        <v>0.14750075583031055</v>
      </c>
    </row>
    <row r="393" spans="1:44" x14ac:dyDescent="0.25">
      <c r="A393">
        <v>5.8026153257815167</v>
      </c>
      <c r="C393">
        <v>13.69364146940643</v>
      </c>
      <c r="E393">
        <f t="shared" si="18"/>
        <v>13.69364146940643</v>
      </c>
      <c r="AE393">
        <f t="shared" si="20"/>
        <v>0.55815941370139488</v>
      </c>
      <c r="AR393">
        <f t="shared" si="19"/>
        <v>0.32375297726658958</v>
      </c>
    </row>
    <row r="394" spans="1:44" x14ac:dyDescent="0.25">
      <c r="A394">
        <v>19.065185390179977</v>
      </c>
      <c r="C394">
        <v>-4.3147401609458029</v>
      </c>
      <c r="E394">
        <f t="shared" si="18"/>
        <v>4.3147401609458029</v>
      </c>
      <c r="AE394">
        <f t="shared" si="20"/>
        <v>-0.72817582832942052</v>
      </c>
      <c r="AR394">
        <f t="shared" si="19"/>
        <v>0.10182612226368444</v>
      </c>
    </row>
    <row r="395" spans="1:44" x14ac:dyDescent="0.25">
      <c r="A395">
        <v>4.8106862979766447</v>
      </c>
      <c r="C395">
        <v>3.5847556520893704</v>
      </c>
      <c r="E395">
        <f t="shared" si="18"/>
        <v>3.5847556520893704</v>
      </c>
      <c r="AE395">
        <f t="shared" si="20"/>
        <v>-0.82829467690196246</v>
      </c>
      <c r="AR395">
        <f t="shared" si="19"/>
        <v>8.4552972571277848E-2</v>
      </c>
    </row>
    <row r="396" spans="1:44" x14ac:dyDescent="0.25">
      <c r="A396">
        <v>20.788950698450208</v>
      </c>
      <c r="C396">
        <v>-3.6891214929637499</v>
      </c>
      <c r="E396">
        <f t="shared" si="18"/>
        <v>3.6891214929637499</v>
      </c>
      <c r="AE396">
        <f t="shared" si="20"/>
        <v>-0.81398069120517413</v>
      </c>
      <c r="AR396">
        <f t="shared" si="19"/>
        <v>8.7022513733214471E-2</v>
      </c>
    </row>
    <row r="397" spans="1:44" x14ac:dyDescent="0.25">
      <c r="A397">
        <v>13.469269126479048</v>
      </c>
      <c r="C397">
        <v>10.180922820116393</v>
      </c>
      <c r="E397">
        <f t="shared" si="18"/>
        <v>10.180922820116393</v>
      </c>
      <c r="AE397">
        <f t="shared" si="20"/>
        <v>7.6382961928250934E-2</v>
      </c>
      <c r="AR397">
        <f t="shared" si="19"/>
        <v>0.24063379553005182</v>
      </c>
    </row>
    <row r="398" spans="1:44" x14ac:dyDescent="0.25">
      <c r="A398">
        <v>-12.372317521832883</v>
      </c>
      <c r="C398">
        <v>3.7996351440669969</v>
      </c>
      <c r="E398">
        <f t="shared" si="18"/>
        <v>3.7996351440669969</v>
      </c>
      <c r="AE398">
        <f t="shared" si="20"/>
        <v>-0.79882352092859121</v>
      </c>
      <c r="AR398">
        <f t="shared" si="19"/>
        <v>8.9637526538830337E-2</v>
      </c>
    </row>
    <row r="399" spans="1:44" x14ac:dyDescent="0.25">
      <c r="A399">
        <v>13.69364146940643</v>
      </c>
      <c r="C399">
        <v>13.603010322374757</v>
      </c>
      <c r="E399">
        <f t="shared" si="18"/>
        <v>13.603010322374757</v>
      </c>
      <c r="AE399">
        <f t="shared" si="20"/>
        <v>0.54572916898314106</v>
      </c>
      <c r="AR399">
        <f t="shared" si="19"/>
        <v>0.32160843125159944</v>
      </c>
    </row>
    <row r="400" spans="1:44" x14ac:dyDescent="0.25">
      <c r="A400">
        <v>12.92545950692147</v>
      </c>
      <c r="C400">
        <v>-3.0215523818624206</v>
      </c>
      <c r="E400">
        <f t="shared" si="18"/>
        <v>3.0215523818624206</v>
      </c>
      <c r="AE400">
        <f t="shared" si="20"/>
        <v>-0.90553914201499153</v>
      </c>
      <c r="AR400">
        <f t="shared" si="19"/>
        <v>7.1226259091942509E-2</v>
      </c>
    </row>
    <row r="401" spans="1:44" x14ac:dyDescent="0.25">
      <c r="A401">
        <v>0.32668415061198175</v>
      </c>
      <c r="C401">
        <v>16.679012353240978</v>
      </c>
      <c r="E401">
        <f t="shared" si="18"/>
        <v>16.679012353240978</v>
      </c>
      <c r="AE401">
        <f t="shared" si="20"/>
        <v>0.96760905520096607</v>
      </c>
      <c r="AR401">
        <f t="shared" si="19"/>
        <v>0.39439387106392365</v>
      </c>
    </row>
    <row r="402" spans="1:44" x14ac:dyDescent="0.25">
      <c r="A402">
        <v>20.350733413768467</v>
      </c>
      <c r="C402">
        <v>5.1907982398988679</v>
      </c>
      <c r="E402">
        <f t="shared" si="18"/>
        <v>5.1907982398988679</v>
      </c>
      <c r="AE402">
        <f t="shared" si="20"/>
        <v>-0.60802269482682447</v>
      </c>
      <c r="AR402">
        <f t="shared" si="19"/>
        <v>0.1225557160473993</v>
      </c>
    </row>
    <row r="403" spans="1:44" x14ac:dyDescent="0.25">
      <c r="A403">
        <v>13.181868800718803</v>
      </c>
      <c r="C403">
        <v>6.575003701262176</v>
      </c>
      <c r="E403">
        <f t="shared" si="18"/>
        <v>6.575003701262176</v>
      </c>
      <c r="AE403">
        <f t="shared" si="20"/>
        <v>-0.41817612233363421</v>
      </c>
      <c r="AR403">
        <f t="shared" si="19"/>
        <v>0.15530927156685964</v>
      </c>
    </row>
    <row r="404" spans="1:44" x14ac:dyDescent="0.25">
      <c r="A404">
        <v>7.1793970366416033</v>
      </c>
      <c r="C404">
        <v>14.284017217694782</v>
      </c>
      <c r="E404">
        <f t="shared" si="18"/>
        <v>14.284017217694782</v>
      </c>
      <c r="AE404">
        <f t="shared" si="20"/>
        <v>0.63913063901736589</v>
      </c>
      <c r="AR404">
        <f t="shared" si="19"/>
        <v>0.33772265546007141</v>
      </c>
    </row>
    <row r="405" spans="1:44" x14ac:dyDescent="0.25">
      <c r="A405">
        <v>-1.1607034846674651</v>
      </c>
      <c r="C405">
        <v>7.6292785908735823</v>
      </c>
      <c r="E405">
        <f t="shared" si="18"/>
        <v>7.6292785908735823</v>
      </c>
      <c r="AE405">
        <f t="shared" si="20"/>
        <v>-0.2735801935896216</v>
      </c>
      <c r="AR405">
        <f t="shared" si="19"/>
        <v>0.18025589408318041</v>
      </c>
    </row>
    <row r="406" spans="1:44" x14ac:dyDescent="0.25">
      <c r="A406">
        <v>13.920014700677712</v>
      </c>
      <c r="C406">
        <v>4.2237552608712576</v>
      </c>
      <c r="E406">
        <f t="shared" si="18"/>
        <v>4.2237552608712576</v>
      </c>
      <c r="AE406">
        <f t="shared" si="20"/>
        <v>-0.74065459099141395</v>
      </c>
      <c r="AR406">
        <f t="shared" si="19"/>
        <v>9.9673205620017191E-2</v>
      </c>
    </row>
    <row r="407" spans="1:44" x14ac:dyDescent="0.25">
      <c r="A407">
        <v>3.3200813251896761</v>
      </c>
      <c r="C407">
        <v>-3.8142452265601605</v>
      </c>
      <c r="E407">
        <f t="shared" si="18"/>
        <v>3.8142452265601605</v>
      </c>
      <c r="AE407">
        <f t="shared" si="20"/>
        <v>-0.79681971863002343</v>
      </c>
      <c r="AR407">
        <f t="shared" si="19"/>
        <v>8.9983235439308459E-2</v>
      </c>
    </row>
    <row r="408" spans="1:44" x14ac:dyDescent="0.25">
      <c r="A408">
        <v>9.0734197530837264</v>
      </c>
      <c r="C408">
        <v>-1.5566065283492208</v>
      </c>
      <c r="E408">
        <f t="shared" si="18"/>
        <v>1.5566065283492208</v>
      </c>
      <c r="AE408">
        <f t="shared" si="20"/>
        <v>-1.1064594222338515</v>
      </c>
      <c r="AR408">
        <f t="shared" si="19"/>
        <v>3.6562196071420965E-2</v>
      </c>
    </row>
    <row r="409" spans="1:44" x14ac:dyDescent="0.25">
      <c r="A409">
        <v>1.4319703243090771</v>
      </c>
      <c r="C409">
        <v>11.828870376310078</v>
      </c>
      <c r="E409">
        <f t="shared" si="18"/>
        <v>11.828870376310078</v>
      </c>
      <c r="AE409">
        <f t="shared" si="20"/>
        <v>0.30240229498576265</v>
      </c>
      <c r="AR409">
        <f t="shared" si="19"/>
        <v>0.27962810907783076</v>
      </c>
    </row>
    <row r="410" spans="1:44" x14ac:dyDescent="0.25">
      <c r="A410">
        <v>-0.11628524388652295</v>
      </c>
      <c r="C410">
        <v>3.9960177875473164</v>
      </c>
      <c r="E410">
        <f t="shared" si="18"/>
        <v>3.9960177875473164</v>
      </c>
      <c r="AE410">
        <f t="shared" si="20"/>
        <v>-0.77188924505514456</v>
      </c>
      <c r="AR410">
        <f t="shared" si="19"/>
        <v>9.4284401584357108E-2</v>
      </c>
    </row>
    <row r="411" spans="1:44" x14ac:dyDescent="0.25">
      <c r="A411">
        <v>19.14740371122025</v>
      </c>
      <c r="C411">
        <v>20.46803549292963</v>
      </c>
      <c r="E411">
        <f t="shared" si="18"/>
        <v>20.46803549292963</v>
      </c>
      <c r="AE411">
        <f t="shared" si="20"/>
        <v>1.4872812254428056</v>
      </c>
      <c r="AR411">
        <f t="shared" si="19"/>
        <v>0.4840510666424484</v>
      </c>
    </row>
    <row r="412" spans="1:44" x14ac:dyDescent="0.25">
      <c r="A412">
        <v>7.0034893926349469</v>
      </c>
      <c r="C412">
        <v>11.341813226143131</v>
      </c>
      <c r="E412">
        <f t="shared" si="18"/>
        <v>11.341813226143131</v>
      </c>
      <c r="AE412">
        <f t="shared" si="20"/>
        <v>0.23560142390956715</v>
      </c>
      <c r="AR412">
        <f t="shared" si="19"/>
        <v>0.26810319182065478</v>
      </c>
    </row>
    <row r="413" spans="1:44" x14ac:dyDescent="0.25">
      <c r="A413">
        <v>-4.5482984003610909</v>
      </c>
      <c r="C413">
        <v>25.470392776886001</v>
      </c>
      <c r="E413">
        <f t="shared" si="18"/>
        <v>25.470392776886001</v>
      </c>
      <c r="AE413">
        <f t="shared" si="20"/>
        <v>2.1733646222025023</v>
      </c>
      <c r="AR413">
        <f t="shared" si="19"/>
        <v>0.60241860065497166</v>
      </c>
    </row>
    <row r="414" spans="1:44" x14ac:dyDescent="0.25">
      <c r="A414">
        <v>-17.316330720670521</v>
      </c>
      <c r="C414">
        <v>-4.2870005725417286</v>
      </c>
      <c r="E414">
        <f t="shared" si="18"/>
        <v>4.2870005725417286</v>
      </c>
      <c r="AE414">
        <f t="shared" si="20"/>
        <v>-0.73198036886034612</v>
      </c>
      <c r="AR414">
        <f t="shared" si="19"/>
        <v>0.10116973838553896</v>
      </c>
    </row>
    <row r="415" spans="1:44" x14ac:dyDescent="0.25">
      <c r="A415">
        <v>31.617394617758691</v>
      </c>
      <c r="C415">
        <v>14.299876531556947</v>
      </c>
      <c r="E415">
        <f t="shared" si="18"/>
        <v>14.299876531556947</v>
      </c>
      <c r="AE415">
        <f t="shared" si="20"/>
        <v>0.64130577591926807</v>
      </c>
      <c r="AR415">
        <f t="shared" si="19"/>
        <v>0.33809792411171607</v>
      </c>
    </row>
    <row r="416" spans="1:44" x14ac:dyDescent="0.25">
      <c r="A416">
        <v>20.745749700115994</v>
      </c>
      <c r="C416">
        <v>8.1166654328699224</v>
      </c>
      <c r="E416">
        <f t="shared" si="18"/>
        <v>8.1166654328699224</v>
      </c>
      <c r="AE416">
        <f t="shared" si="20"/>
        <v>-0.20673410461367334</v>
      </c>
      <c r="AR416">
        <f t="shared" si="19"/>
        <v>0.19178861262415406</v>
      </c>
    </row>
    <row r="417" spans="1:44" x14ac:dyDescent="0.25">
      <c r="A417">
        <v>2.842607975442661</v>
      </c>
      <c r="C417">
        <v>2.2748445391771384</v>
      </c>
      <c r="E417">
        <f t="shared" si="18"/>
        <v>2.2748445391771384</v>
      </c>
      <c r="AE417">
        <f t="shared" si="20"/>
        <v>-1.0079516295715465</v>
      </c>
      <c r="AR417">
        <f t="shared" si="19"/>
        <v>5.3557396004145733E-2</v>
      </c>
    </row>
    <row r="418" spans="1:44" x14ac:dyDescent="0.25">
      <c r="A418">
        <v>-8.263038560282439</v>
      </c>
      <c r="C418">
        <v>33.489862309768796</v>
      </c>
      <c r="E418">
        <f t="shared" si="18"/>
        <v>33.489862309768796</v>
      </c>
      <c r="AE418">
        <f t="shared" si="20"/>
        <v>3.2732510527414198</v>
      </c>
      <c r="AR418">
        <f t="shared" si="19"/>
        <v>0.79217810378769049</v>
      </c>
    </row>
    <row r="419" spans="1:44" x14ac:dyDescent="0.25">
      <c r="A419">
        <v>5.0624458001111634</v>
      </c>
      <c r="C419">
        <v>31.282700567506254</v>
      </c>
      <c r="E419">
        <f t="shared" si="18"/>
        <v>31.282700567506254</v>
      </c>
      <c r="AE419">
        <f t="shared" si="20"/>
        <v>2.9705343655135383</v>
      </c>
      <c r="AR419">
        <f t="shared" si="19"/>
        <v>0.73995146787019894</v>
      </c>
    </row>
    <row r="420" spans="1:44" x14ac:dyDescent="0.25">
      <c r="A420">
        <v>14.930213203304447</v>
      </c>
      <c r="C420">
        <v>5.5124751472321805</v>
      </c>
      <c r="E420">
        <f t="shared" si="18"/>
        <v>5.5124751472321805</v>
      </c>
      <c r="AE420">
        <f t="shared" si="20"/>
        <v>-0.56390405780938946</v>
      </c>
      <c r="AR420">
        <f t="shared" si="19"/>
        <v>0.13016734794581195</v>
      </c>
    </row>
    <row r="421" spans="1:44" x14ac:dyDescent="0.25">
      <c r="A421">
        <v>13.656795565300854</v>
      </c>
      <c r="C421">
        <v>8.5958895599178504</v>
      </c>
      <c r="E421">
        <f t="shared" si="18"/>
        <v>8.5958895599178504</v>
      </c>
      <c r="AE421">
        <f t="shared" si="20"/>
        <v>-0.1410075484660876</v>
      </c>
      <c r="AR421">
        <f t="shared" si="19"/>
        <v>0.20312818213868977</v>
      </c>
    </row>
    <row r="422" spans="1:44" x14ac:dyDescent="0.25">
      <c r="A422">
        <v>10.12846771319164</v>
      </c>
      <c r="C422">
        <v>-8.9011400430463254</v>
      </c>
      <c r="E422">
        <f t="shared" si="18"/>
        <v>8.9011400430463254</v>
      </c>
      <c r="AE422">
        <f t="shared" si="20"/>
        <v>-9.9141828678538477E-2</v>
      </c>
      <c r="AR422">
        <f t="shared" si="19"/>
        <v>0.21035112622145874</v>
      </c>
    </row>
    <row r="423" spans="1:44" x14ac:dyDescent="0.25">
      <c r="A423">
        <v>4.1834760142664891</v>
      </c>
      <c r="C423">
        <v>9.3716999092139304</v>
      </c>
      <c r="E423">
        <f t="shared" si="18"/>
        <v>9.3716999092139304</v>
      </c>
      <c r="AE423">
        <f t="shared" si="20"/>
        <v>-3.460359339604753E-2</v>
      </c>
      <c r="AR423">
        <f t="shared" si="19"/>
        <v>0.22148567895365978</v>
      </c>
    </row>
    <row r="424" spans="1:44" x14ac:dyDescent="0.25">
      <c r="A424">
        <v>10.008891897276044</v>
      </c>
      <c r="C424">
        <v>-21.504008125513792</v>
      </c>
      <c r="E424">
        <f t="shared" si="18"/>
        <v>21.504008125513792</v>
      </c>
      <c r="AE424">
        <f t="shared" si="20"/>
        <v>1.629366962699718</v>
      </c>
      <c r="AR424">
        <f t="shared" si="19"/>
        <v>0.50856461472841485</v>
      </c>
    </row>
    <row r="425" spans="1:44" x14ac:dyDescent="0.25">
      <c r="A425">
        <v>17.209679774357937</v>
      </c>
      <c r="C425">
        <v>9.1681095202220604</v>
      </c>
      <c r="E425">
        <f t="shared" si="18"/>
        <v>9.1681095202220604</v>
      </c>
      <c r="AE425">
        <f t="shared" si="20"/>
        <v>-6.2526426112365835E-2</v>
      </c>
      <c r="AR425">
        <f t="shared" si="19"/>
        <v>0.21666825170372964</v>
      </c>
    </row>
    <row r="426" spans="1:44" x14ac:dyDescent="0.25">
      <c r="A426">
        <v>1.8966993795474991</v>
      </c>
      <c r="C426">
        <v>11.331297193653882</v>
      </c>
      <c r="E426">
        <f t="shared" si="18"/>
        <v>11.331297193653882</v>
      </c>
      <c r="AE426">
        <f t="shared" si="20"/>
        <v>0.23415912883124493</v>
      </c>
      <c r="AR426">
        <f t="shared" si="19"/>
        <v>0.26785435776848898</v>
      </c>
    </row>
    <row r="427" spans="1:44" x14ac:dyDescent="0.25">
      <c r="A427">
        <v>-10.242280930280685</v>
      </c>
      <c r="C427">
        <v>19.354859452694654</v>
      </c>
      <c r="E427">
        <f t="shared" si="18"/>
        <v>19.354859452694654</v>
      </c>
      <c r="AE427">
        <f t="shared" si="20"/>
        <v>1.3346068850222661</v>
      </c>
      <c r="AR427">
        <f t="shared" si="19"/>
        <v>0.45771070442421291</v>
      </c>
    </row>
    <row r="428" spans="1:44" x14ac:dyDescent="0.25">
      <c r="A428">
        <v>-21.274087864905596</v>
      </c>
      <c r="C428">
        <v>10.509625574020902</v>
      </c>
      <c r="E428">
        <f t="shared" si="18"/>
        <v>10.509625574020902</v>
      </c>
      <c r="AE428">
        <f t="shared" si="20"/>
        <v>0.12146520798179745</v>
      </c>
      <c r="AR428">
        <f t="shared" si="19"/>
        <v>0.24841167547628984</v>
      </c>
    </row>
    <row r="429" spans="1:44" x14ac:dyDescent="0.25">
      <c r="A429">
        <v>-8.1973730428144336</v>
      </c>
      <c r="C429">
        <v>1.4679863144992851</v>
      </c>
      <c r="E429">
        <f t="shared" si="18"/>
        <v>1.4679863144992851</v>
      </c>
      <c r="AE429">
        <f t="shared" si="20"/>
        <v>-1.1186138634079628</v>
      </c>
      <c r="AR429">
        <f t="shared" si="19"/>
        <v>3.4465233463267755E-2</v>
      </c>
    </row>
    <row r="430" spans="1:44" x14ac:dyDescent="0.25">
      <c r="A430">
        <v>4.414499037200585</v>
      </c>
      <c r="C430">
        <v>12.91078253617161</v>
      </c>
      <c r="E430">
        <f t="shared" si="18"/>
        <v>12.91078253617161</v>
      </c>
      <c r="AE430">
        <f t="shared" si="20"/>
        <v>0.45078873111939832</v>
      </c>
      <c r="AR430">
        <f t="shared" si="19"/>
        <v>0.3052286943842219</v>
      </c>
    </row>
    <row r="431" spans="1:44" x14ac:dyDescent="0.25">
      <c r="A431">
        <v>10.333172233193181</v>
      </c>
      <c r="C431">
        <v>5.6959088598960079</v>
      </c>
      <c r="E431">
        <f t="shared" si="18"/>
        <v>5.6959088598960079</v>
      </c>
      <c r="AE431">
        <f t="shared" si="20"/>
        <v>-0.53874575392968227</v>
      </c>
      <c r="AR431">
        <f t="shared" si="19"/>
        <v>0.13450782084494212</v>
      </c>
    </row>
    <row r="432" spans="1:44" x14ac:dyDescent="0.25">
      <c r="A432">
        <v>3.5687371766543947</v>
      </c>
      <c r="C432">
        <v>10.04715888685314</v>
      </c>
      <c r="E432">
        <f t="shared" si="18"/>
        <v>10.04715888685314</v>
      </c>
      <c r="AE432">
        <f t="shared" si="20"/>
        <v>5.8036968531992215E-2</v>
      </c>
      <c r="AR432">
        <f t="shared" si="19"/>
        <v>0.23746862638650265</v>
      </c>
    </row>
    <row r="433" spans="1:44" x14ac:dyDescent="0.25">
      <c r="A433">
        <v>11.341813226143131</v>
      </c>
      <c r="C433">
        <v>2.6529328553879168</v>
      </c>
      <c r="E433">
        <f t="shared" si="18"/>
        <v>2.6529328553879168</v>
      </c>
      <c r="AE433">
        <f t="shared" si="20"/>
        <v>-0.95609605398261432</v>
      </c>
      <c r="AR433">
        <f t="shared" si="19"/>
        <v>6.2503854461311639E-2</v>
      </c>
    </row>
    <row r="434" spans="1:44" x14ac:dyDescent="0.25">
      <c r="A434">
        <v>1.3548906483338214</v>
      </c>
      <c r="C434">
        <v>6.4914893502718769</v>
      </c>
      <c r="E434">
        <f t="shared" si="18"/>
        <v>6.4914893502718769</v>
      </c>
      <c r="AE434">
        <f t="shared" si="20"/>
        <v>-0.42963028411239645</v>
      </c>
      <c r="AR434">
        <f t="shared" si="19"/>
        <v>0.15333312567798388</v>
      </c>
    </row>
    <row r="435" spans="1:44" x14ac:dyDescent="0.25">
      <c r="A435">
        <v>-4.3147401609458029</v>
      </c>
      <c r="C435">
        <v>22.60439307265915</v>
      </c>
      <c r="E435">
        <f t="shared" si="18"/>
        <v>22.60439307265915</v>
      </c>
      <c r="AE435">
        <f t="shared" si="20"/>
        <v>1.7802869788892914</v>
      </c>
      <c r="AR435">
        <f t="shared" si="19"/>
        <v>0.53460230961195221</v>
      </c>
    </row>
    <row r="436" spans="1:44" x14ac:dyDescent="0.25">
      <c r="A436">
        <v>24.306239558616653</v>
      </c>
      <c r="C436">
        <v>-11.700746634043753</v>
      </c>
      <c r="E436">
        <f t="shared" si="18"/>
        <v>11.700746634043753</v>
      </c>
      <c r="AE436">
        <f t="shared" si="20"/>
        <v>0.28482986516721093</v>
      </c>
      <c r="AR436">
        <f t="shared" si="19"/>
        <v>0.27659640011350695</v>
      </c>
    </row>
    <row r="437" spans="1:44" x14ac:dyDescent="0.25">
      <c r="A437">
        <v>28.947300072293729</v>
      </c>
      <c r="C437">
        <v>8.6411141839635093</v>
      </c>
      <c r="E437">
        <f t="shared" si="18"/>
        <v>8.6411141839635093</v>
      </c>
      <c r="AE437">
        <f t="shared" si="20"/>
        <v>-0.13480490001034076</v>
      </c>
      <c r="AR437">
        <f t="shared" si="19"/>
        <v>0.2041983030678958</v>
      </c>
    </row>
    <row r="438" spans="1:44" x14ac:dyDescent="0.25">
      <c r="A438">
        <v>5.6723302097525448</v>
      </c>
      <c r="C438">
        <v>0.15613115666201338</v>
      </c>
      <c r="E438">
        <f t="shared" si="18"/>
        <v>0.15613115666201338</v>
      </c>
      <c r="AE438">
        <f t="shared" si="20"/>
        <v>-1.298537445762296</v>
      </c>
      <c r="AR438">
        <f t="shared" si="19"/>
        <v>3.4236562227082366E-3</v>
      </c>
    </row>
    <row r="439" spans="1:44" x14ac:dyDescent="0.25">
      <c r="A439">
        <v>8.1893454282253515</v>
      </c>
      <c r="C439">
        <v>3.1581457935390063</v>
      </c>
      <c r="E439">
        <f t="shared" si="18"/>
        <v>3.1581457935390063</v>
      </c>
      <c r="AE439">
        <f t="shared" si="20"/>
        <v>-0.88680507994416946</v>
      </c>
      <c r="AR439">
        <f t="shared" si="19"/>
        <v>7.4458380346929587E-2</v>
      </c>
    </row>
    <row r="440" spans="1:44" x14ac:dyDescent="0.25">
      <c r="A440">
        <v>13.408946890383959</v>
      </c>
      <c r="C440">
        <v>15.812673175067175</v>
      </c>
      <c r="E440">
        <f t="shared" si="18"/>
        <v>15.812673175067175</v>
      </c>
      <c r="AE440">
        <f t="shared" si="20"/>
        <v>0.84878888855397483</v>
      </c>
      <c r="AR440">
        <f t="shared" si="19"/>
        <v>0.37389424932203857</v>
      </c>
    </row>
    <row r="441" spans="1:44" x14ac:dyDescent="0.25">
      <c r="A441">
        <v>0.59200649248668924</v>
      </c>
      <c r="C441">
        <v>8.5798028723802418</v>
      </c>
      <c r="E441">
        <f t="shared" si="18"/>
        <v>8.5798028723802418</v>
      </c>
      <c r="AE441">
        <f t="shared" si="20"/>
        <v>-0.14321387012643996</v>
      </c>
      <c r="AR441">
        <f t="shared" si="19"/>
        <v>0.20274753329132258</v>
      </c>
    </row>
    <row r="442" spans="1:44" x14ac:dyDescent="0.25">
      <c r="A442">
        <v>27.979961507488042</v>
      </c>
      <c r="C442">
        <v>3.3200813251896761</v>
      </c>
      <c r="E442">
        <f t="shared" si="18"/>
        <v>3.3200813251896761</v>
      </c>
      <c r="AE442">
        <f t="shared" si="20"/>
        <v>-0.8645952949759298</v>
      </c>
      <c r="AR442">
        <f t="shared" si="19"/>
        <v>7.8290155740496969E-2</v>
      </c>
    </row>
    <row r="443" spans="1:44" x14ac:dyDescent="0.25">
      <c r="A443">
        <v>1.4869151729799341</v>
      </c>
      <c r="C443">
        <v>2.447034623590298</v>
      </c>
      <c r="E443">
        <f t="shared" si="18"/>
        <v>2.447034623590298</v>
      </c>
      <c r="AE443">
        <f t="shared" si="20"/>
        <v>-0.9843354119972022</v>
      </c>
      <c r="AR443">
        <f t="shared" si="19"/>
        <v>5.7631818224798077E-2</v>
      </c>
    </row>
    <row r="444" spans="1:44" x14ac:dyDescent="0.25">
      <c r="A444">
        <v>21.192720871302299</v>
      </c>
      <c r="C444">
        <v>16.824849828670267</v>
      </c>
      <c r="E444">
        <f t="shared" si="18"/>
        <v>16.824849828670267</v>
      </c>
      <c r="AE444">
        <f t="shared" si="20"/>
        <v>0.98761095927093101</v>
      </c>
      <c r="AR444">
        <f t="shared" si="19"/>
        <v>0.39784472860033782</v>
      </c>
    </row>
    <row r="445" spans="1:44" x14ac:dyDescent="0.25">
      <c r="A445">
        <v>16.759548109082971</v>
      </c>
      <c r="C445">
        <v>25.527008822071366</v>
      </c>
      <c r="E445">
        <f t="shared" si="18"/>
        <v>25.527008822071366</v>
      </c>
      <c r="AE445">
        <f t="shared" si="20"/>
        <v>2.1811296270566047</v>
      </c>
      <c r="AR445">
        <f t="shared" si="19"/>
        <v>0.60375826938987509</v>
      </c>
    </row>
    <row r="446" spans="1:44" x14ac:dyDescent="0.25">
      <c r="A446">
        <v>-5.3682533487444744</v>
      </c>
      <c r="C446">
        <v>-2.87391865439713</v>
      </c>
      <c r="E446">
        <f t="shared" si="18"/>
        <v>2.87391865439713</v>
      </c>
      <c r="AE446">
        <f t="shared" si="20"/>
        <v>-0.92578740567671314</v>
      </c>
      <c r="AR446">
        <f t="shared" si="19"/>
        <v>6.77328980093206E-2</v>
      </c>
    </row>
    <row r="447" spans="1:44" x14ac:dyDescent="0.25">
      <c r="A447">
        <v>-2.1636032923124731</v>
      </c>
      <c r="C447">
        <v>21.785461305815261</v>
      </c>
      <c r="E447">
        <f t="shared" si="18"/>
        <v>21.785461305815261</v>
      </c>
      <c r="AE447">
        <f t="shared" si="20"/>
        <v>1.6679688343791692</v>
      </c>
      <c r="AR447">
        <f t="shared" si="19"/>
        <v>0.51522445867820932</v>
      </c>
    </row>
    <row r="448" spans="1:44" x14ac:dyDescent="0.25">
      <c r="A448">
        <v>-4.5668293549097143</v>
      </c>
      <c r="C448">
        <v>8.3737795850611292</v>
      </c>
      <c r="E448">
        <f t="shared" si="18"/>
        <v>8.3737795850611292</v>
      </c>
      <c r="AE448">
        <f t="shared" si="20"/>
        <v>-0.17147037975817553</v>
      </c>
      <c r="AR448">
        <f t="shared" si="19"/>
        <v>0.19787253794716164</v>
      </c>
    </row>
    <row r="449" spans="1:44" x14ac:dyDescent="0.25">
      <c r="A449">
        <v>14.283084985625464</v>
      </c>
      <c r="C449">
        <v>9.1681095202220604</v>
      </c>
      <c r="E449">
        <f t="shared" si="18"/>
        <v>9.1681095202220604</v>
      </c>
      <c r="AE449">
        <f t="shared" si="20"/>
        <v>-6.2526426112365835E-2</v>
      </c>
      <c r="AR449">
        <f t="shared" si="19"/>
        <v>0.21666825170372964</v>
      </c>
    </row>
    <row r="450" spans="1:44" x14ac:dyDescent="0.25">
      <c r="A450">
        <v>-0.91327545105013996</v>
      </c>
      <c r="C450">
        <v>12.504818207351491</v>
      </c>
      <c r="E450">
        <f t="shared" si="18"/>
        <v>12.504818207351491</v>
      </c>
      <c r="AE450">
        <f t="shared" si="20"/>
        <v>0.39510990414447034</v>
      </c>
      <c r="AR450">
        <f t="shared" si="19"/>
        <v>0.29562262393147704</v>
      </c>
    </row>
    <row r="451" spans="1:44" x14ac:dyDescent="0.25">
      <c r="A451">
        <v>24.926696844166145</v>
      </c>
      <c r="C451">
        <v>1.6168705971795134</v>
      </c>
      <c r="E451">
        <f t="shared" ref="E451:E500" si="21">ABS(C451)</f>
        <v>1.6168705971795134</v>
      </c>
      <c r="AE451">
        <f t="shared" si="20"/>
        <v>-1.098194083574765</v>
      </c>
      <c r="AR451">
        <f t="shared" ref="AR451:AR501" si="22">(AE451 - $AJ$13)/($AJ$14 - $AJ$13)</f>
        <v>3.7988185622363439E-2</v>
      </c>
    </row>
    <row r="452" spans="1:44" x14ac:dyDescent="0.25">
      <c r="A452">
        <v>3.5307202981202863</v>
      </c>
      <c r="C452">
        <v>1.1628622107382398</v>
      </c>
      <c r="E452">
        <f t="shared" si="21"/>
        <v>1.1628622107382398</v>
      </c>
      <c r="AE452">
        <f t="shared" ref="AE452:AE501" si="23">STANDARDIZE(E452,$M$4,$M$8)</f>
        <v>-1.1604622500102224</v>
      </c>
      <c r="AR452">
        <f t="shared" si="22"/>
        <v>2.7245279813453416E-2</v>
      </c>
    </row>
    <row r="453" spans="1:44" x14ac:dyDescent="0.25">
      <c r="A453">
        <v>9.0757275958894752</v>
      </c>
      <c r="C453">
        <v>5.4516754264186602</v>
      </c>
      <c r="E453">
        <f t="shared" si="21"/>
        <v>5.4516754264186602</v>
      </c>
      <c r="AE453">
        <f t="shared" si="23"/>
        <v>-0.57224286221897569</v>
      </c>
      <c r="AR453">
        <f t="shared" si="22"/>
        <v>0.12872868360961434</v>
      </c>
    </row>
    <row r="454" spans="1:44" x14ac:dyDescent="0.25">
      <c r="A454">
        <v>2.6370394354744349</v>
      </c>
      <c r="C454">
        <v>18.685175766411703</v>
      </c>
      <c r="E454">
        <f t="shared" si="21"/>
        <v>18.685175766411703</v>
      </c>
      <c r="AE454">
        <f t="shared" si="23"/>
        <v>1.2427584159588616</v>
      </c>
      <c r="AR454">
        <f t="shared" si="22"/>
        <v>0.44186441396272158</v>
      </c>
    </row>
    <row r="455" spans="1:44" x14ac:dyDescent="0.25">
      <c r="A455">
        <v>-2.8229414763627574</v>
      </c>
      <c r="C455">
        <v>1.9757572064991109</v>
      </c>
      <c r="E455">
        <f t="shared" si="21"/>
        <v>1.9757572064991109</v>
      </c>
      <c r="AE455">
        <f t="shared" si="23"/>
        <v>-1.048972060836953</v>
      </c>
      <c r="AR455">
        <f t="shared" si="22"/>
        <v>4.6480286550763875E-2</v>
      </c>
    </row>
    <row r="456" spans="1:44" x14ac:dyDescent="0.25">
      <c r="A456">
        <v>20.759551282215398</v>
      </c>
      <c r="C456">
        <v>11.480465693428414</v>
      </c>
      <c r="E456">
        <f t="shared" si="21"/>
        <v>11.480465693428414</v>
      </c>
      <c r="AE456">
        <f t="shared" si="23"/>
        <v>0.25461788961250542</v>
      </c>
      <c r="AR456">
        <f t="shared" si="22"/>
        <v>0.2713840351722378</v>
      </c>
    </row>
    <row r="457" spans="1:44" x14ac:dyDescent="0.25">
      <c r="A457">
        <v>6.7933733791578561</v>
      </c>
      <c r="C457">
        <v>5.3147168930154294</v>
      </c>
      <c r="E457">
        <f t="shared" si="21"/>
        <v>5.3147168930154294</v>
      </c>
      <c r="AE457">
        <f t="shared" si="23"/>
        <v>-0.59102700147145992</v>
      </c>
      <c r="AR457">
        <f t="shared" si="22"/>
        <v>0.12548792271616402</v>
      </c>
    </row>
    <row r="458" spans="1:44" x14ac:dyDescent="0.25">
      <c r="A458">
        <v>12.996400093659759</v>
      </c>
      <c r="C458">
        <v>-6.4701516546774656</v>
      </c>
      <c r="E458">
        <f t="shared" si="21"/>
        <v>6.4701516546774656</v>
      </c>
      <c r="AE458">
        <f t="shared" si="23"/>
        <v>-0.43255679212480691</v>
      </c>
      <c r="AR458">
        <f t="shared" si="22"/>
        <v>0.15282822563473411</v>
      </c>
    </row>
    <row r="459" spans="1:44" x14ac:dyDescent="0.25">
      <c r="A459">
        <v>10.586273240012815</v>
      </c>
      <c r="C459">
        <v>1.3300614429754205</v>
      </c>
      <c r="E459">
        <f t="shared" si="21"/>
        <v>1.3300614429754205</v>
      </c>
      <c r="AE459">
        <f t="shared" si="23"/>
        <v>-1.1375305378838603</v>
      </c>
      <c r="AR459">
        <f t="shared" si="22"/>
        <v>3.1201606737996792E-2</v>
      </c>
    </row>
    <row r="460" spans="1:44" x14ac:dyDescent="0.25">
      <c r="A460">
        <v>8.3079549060203135</v>
      </c>
      <c r="C460">
        <v>23.69287633174099</v>
      </c>
      <c r="E460">
        <f t="shared" si="21"/>
        <v>23.69287633174099</v>
      </c>
      <c r="AE460">
        <f t="shared" si="23"/>
        <v>1.9295746545421384</v>
      </c>
      <c r="AR460">
        <f t="shared" si="22"/>
        <v>0.5603583825747237</v>
      </c>
    </row>
    <row r="461" spans="1:44" x14ac:dyDescent="0.25">
      <c r="A461">
        <v>15.325706974370405</v>
      </c>
      <c r="C461">
        <v>5.3012336340616457</v>
      </c>
      <c r="E461">
        <f t="shared" si="21"/>
        <v>5.3012336340616457</v>
      </c>
      <c r="AE461">
        <f t="shared" si="23"/>
        <v>-0.59287625764755736</v>
      </c>
      <c r="AR461">
        <f t="shared" si="22"/>
        <v>0.12516887710981953</v>
      </c>
    </row>
    <row r="462" spans="1:44" x14ac:dyDescent="0.25">
      <c r="A462">
        <v>16.43083398649469</v>
      </c>
      <c r="C462">
        <v>9.9425897335167974</v>
      </c>
      <c r="E462">
        <f t="shared" si="21"/>
        <v>9.9425897335167974</v>
      </c>
      <c r="AE462">
        <f t="shared" si="23"/>
        <v>4.3695098120740496E-2</v>
      </c>
      <c r="AR462">
        <f t="shared" si="22"/>
        <v>0.23499427437372303</v>
      </c>
    </row>
    <row r="463" spans="1:44" x14ac:dyDescent="0.25">
      <c r="A463">
        <v>8.665647803543834</v>
      </c>
      <c r="C463">
        <v>5.9942231220775284</v>
      </c>
      <c r="E463">
        <f t="shared" si="21"/>
        <v>5.9942231220775284</v>
      </c>
      <c r="AE463">
        <f t="shared" si="23"/>
        <v>-0.49783135084300639</v>
      </c>
      <c r="AR463">
        <f t="shared" si="22"/>
        <v>0.14156663763286748</v>
      </c>
    </row>
    <row r="464" spans="1:44" x14ac:dyDescent="0.25">
      <c r="A464">
        <v>13.603010322374757</v>
      </c>
      <c r="C464">
        <v>-12.571224013110623</v>
      </c>
      <c r="E464">
        <f t="shared" si="21"/>
        <v>12.571224013110623</v>
      </c>
      <c r="AE464">
        <f t="shared" si="23"/>
        <v>0.40421759441799604</v>
      </c>
      <c r="AR464">
        <f t="shared" si="22"/>
        <v>0.29719394141754157</v>
      </c>
    </row>
    <row r="465" spans="1:44" x14ac:dyDescent="0.25">
      <c r="A465">
        <v>-7.4033841681666672</v>
      </c>
      <c r="C465">
        <v>0.15613115666201338</v>
      </c>
      <c r="E465">
        <f t="shared" si="21"/>
        <v>0.15613115666201338</v>
      </c>
      <c r="AE465">
        <f t="shared" si="23"/>
        <v>-1.298537445762296</v>
      </c>
      <c r="AR465">
        <f t="shared" si="22"/>
        <v>3.4236562227082366E-3</v>
      </c>
    </row>
    <row r="466" spans="1:44" x14ac:dyDescent="0.25">
      <c r="A466">
        <v>16.225231340475148</v>
      </c>
      <c r="C466">
        <v>5.5187847667257302</v>
      </c>
      <c r="E466">
        <f t="shared" si="21"/>
        <v>5.5187847667257302</v>
      </c>
      <c r="AE466">
        <f t="shared" si="23"/>
        <v>-0.56303868076239616</v>
      </c>
      <c r="AR466">
        <f t="shared" si="22"/>
        <v>0.13031664837711143</v>
      </c>
    </row>
    <row r="467" spans="1:44" x14ac:dyDescent="0.25">
      <c r="A467">
        <v>1.209166859742254</v>
      </c>
      <c r="C467">
        <v>28.088100427528843</v>
      </c>
      <c r="E467">
        <f t="shared" si="21"/>
        <v>28.088100427528843</v>
      </c>
      <c r="AE467">
        <f t="shared" si="23"/>
        <v>2.5323885092880833</v>
      </c>
      <c r="AR467">
        <f t="shared" si="22"/>
        <v>0.66435971796901661</v>
      </c>
    </row>
    <row r="468" spans="1:44" x14ac:dyDescent="0.25">
      <c r="A468">
        <v>6.5510385158704594</v>
      </c>
      <c r="C468">
        <v>-8.4466200658353046</v>
      </c>
      <c r="E468">
        <f t="shared" si="21"/>
        <v>8.4466200658353046</v>
      </c>
      <c r="AE468">
        <f t="shared" si="23"/>
        <v>-0.16148016082050887</v>
      </c>
      <c r="AR468">
        <f t="shared" si="22"/>
        <v>0.19959611497217306</v>
      </c>
    </row>
    <row r="469" spans="1:44" x14ac:dyDescent="0.25">
      <c r="A469">
        <v>-2.1918658401700668</v>
      </c>
      <c r="C469">
        <v>-5.7538791022961959</v>
      </c>
      <c r="E469">
        <f t="shared" si="21"/>
        <v>5.7538791022961959</v>
      </c>
      <c r="AE469">
        <f t="shared" si="23"/>
        <v>-0.53079501819465946</v>
      </c>
      <c r="AR469">
        <f t="shared" si="22"/>
        <v>0.13587953306970177</v>
      </c>
    </row>
    <row r="470" spans="1:44" x14ac:dyDescent="0.25">
      <c r="A470">
        <v>14.997470336500555</v>
      </c>
      <c r="C470">
        <v>7.8336079443106428</v>
      </c>
      <c r="E470">
        <f t="shared" si="21"/>
        <v>7.8336079443106428</v>
      </c>
      <c r="AE470">
        <f t="shared" si="23"/>
        <v>-0.24555601040834013</v>
      </c>
      <c r="AR470">
        <f t="shared" si="22"/>
        <v>0.18509080696920871</v>
      </c>
    </row>
    <row r="471" spans="1:44" x14ac:dyDescent="0.25">
      <c r="A471">
        <v>4.784117684001103</v>
      </c>
      <c r="C471">
        <v>2.9966650092392229</v>
      </c>
      <c r="E471">
        <f t="shared" si="21"/>
        <v>2.9966650092392229</v>
      </c>
      <c r="AE471">
        <f t="shared" si="23"/>
        <v>-0.90895249539550882</v>
      </c>
      <c r="AR471">
        <f t="shared" si="22"/>
        <v>7.063736534480719E-2</v>
      </c>
    </row>
    <row r="472" spans="1:44" x14ac:dyDescent="0.25">
      <c r="A472">
        <v>16.824849828670267</v>
      </c>
      <c r="C472">
        <v>5.3139210851513781</v>
      </c>
      <c r="E472">
        <f t="shared" si="21"/>
        <v>5.3139210851513781</v>
      </c>
      <c r="AE472">
        <f t="shared" si="23"/>
        <v>-0.59113614812603565</v>
      </c>
      <c r="AR472">
        <f t="shared" si="22"/>
        <v>0.12546909203113524</v>
      </c>
    </row>
    <row r="473" spans="1:44" x14ac:dyDescent="0.25">
      <c r="A473">
        <v>6.4914893502718769</v>
      </c>
      <c r="C473">
        <v>-2.3265165307675488</v>
      </c>
      <c r="E473">
        <f t="shared" si="21"/>
        <v>2.3265165307675488</v>
      </c>
      <c r="AE473">
        <f t="shared" si="23"/>
        <v>-1.0008647116455944</v>
      </c>
      <c r="AR473">
        <f t="shared" si="22"/>
        <v>5.4780076807392025E-2</v>
      </c>
    </row>
    <row r="474" spans="1:44" x14ac:dyDescent="0.25">
      <c r="A474">
        <v>18.021039997809567</v>
      </c>
      <c r="C474">
        <v>-7.30888766865246</v>
      </c>
      <c r="E474">
        <f t="shared" si="21"/>
        <v>7.30888766865246</v>
      </c>
      <c r="AE474">
        <f t="shared" si="23"/>
        <v>-0.31752245515367117</v>
      </c>
      <c r="AR474">
        <f t="shared" si="22"/>
        <v>0.17267469161590718</v>
      </c>
    </row>
    <row r="475" spans="1:44" x14ac:dyDescent="0.25">
      <c r="A475">
        <v>23.471368897124194</v>
      </c>
      <c r="C475">
        <v>6.3574866746494081</v>
      </c>
      <c r="E475">
        <f t="shared" si="21"/>
        <v>6.3574866746494081</v>
      </c>
      <c r="AE475">
        <f t="shared" si="23"/>
        <v>-0.44800902150502792</v>
      </c>
      <c r="AR475">
        <f t="shared" si="22"/>
        <v>0.1501623073289261</v>
      </c>
    </row>
    <row r="476" spans="1:44" x14ac:dyDescent="0.25">
      <c r="A476">
        <v>14.345658221107442</v>
      </c>
      <c r="C476">
        <v>25.729598766891286</v>
      </c>
      <c r="E476">
        <f t="shared" si="21"/>
        <v>25.729598766891286</v>
      </c>
      <c r="AE476">
        <f t="shared" si="23"/>
        <v>2.2089152468357423</v>
      </c>
      <c r="AR476">
        <f t="shared" si="22"/>
        <v>0.60855202377862627</v>
      </c>
    </row>
    <row r="477" spans="1:44" x14ac:dyDescent="0.25">
      <c r="A477">
        <v>10.04715888685314</v>
      </c>
      <c r="C477">
        <v>5.2194245856371708</v>
      </c>
      <c r="E477">
        <f t="shared" si="21"/>
        <v>5.2194245856371708</v>
      </c>
      <c r="AE477">
        <f t="shared" si="23"/>
        <v>-0.60409653373794303</v>
      </c>
      <c r="AR477">
        <f t="shared" si="22"/>
        <v>0.12323308268886256</v>
      </c>
    </row>
    <row r="478" spans="1:44" x14ac:dyDescent="0.25">
      <c r="A478">
        <v>3.1159452393767424</v>
      </c>
      <c r="C478">
        <v>19.512202036101371</v>
      </c>
      <c r="E478">
        <f t="shared" si="21"/>
        <v>19.512202036101371</v>
      </c>
      <c r="AE478">
        <f t="shared" si="23"/>
        <v>1.3561867378698116</v>
      </c>
      <c r="AR478">
        <f t="shared" si="22"/>
        <v>0.46143379986418576</v>
      </c>
    </row>
    <row r="479" spans="1:44" x14ac:dyDescent="0.25">
      <c r="A479">
        <v>20.46803549292963</v>
      </c>
      <c r="C479">
        <v>20.860346032539383</v>
      </c>
      <c r="E479">
        <f t="shared" si="21"/>
        <v>20.860346032539383</v>
      </c>
      <c r="AE479">
        <f t="shared" si="23"/>
        <v>1.5410874076727985</v>
      </c>
      <c r="AR479">
        <f t="shared" si="22"/>
        <v>0.49333405634205696</v>
      </c>
    </row>
    <row r="480" spans="1:44" x14ac:dyDescent="0.25">
      <c r="A480">
        <v>11.201387244189391</v>
      </c>
      <c r="C480">
        <v>4.2237552608712576</v>
      </c>
      <c r="E480">
        <f t="shared" si="21"/>
        <v>4.2237552608712576</v>
      </c>
      <c r="AE480">
        <f t="shared" si="23"/>
        <v>-0.74065459099141395</v>
      </c>
      <c r="AR480">
        <f t="shared" si="22"/>
        <v>9.9673205620017191E-2</v>
      </c>
    </row>
    <row r="481" spans="1:44" x14ac:dyDescent="0.25">
      <c r="A481">
        <v>-4.9359250422567129</v>
      </c>
      <c r="C481">
        <v>5.3012336340616457</v>
      </c>
      <c r="E481">
        <f t="shared" si="21"/>
        <v>5.3012336340616457</v>
      </c>
      <c r="AE481">
        <f t="shared" si="23"/>
        <v>-0.59287625764755736</v>
      </c>
      <c r="AR481">
        <f t="shared" si="22"/>
        <v>0.12516887710981953</v>
      </c>
    </row>
    <row r="482" spans="1:44" x14ac:dyDescent="0.25">
      <c r="A482">
        <v>20.68908818019554</v>
      </c>
      <c r="C482">
        <v>-9.5841705640777946</v>
      </c>
      <c r="E482">
        <f t="shared" si="21"/>
        <v>9.5841705640777946</v>
      </c>
      <c r="AE482">
        <f t="shared" si="23"/>
        <v>-5.4628142941067362E-3</v>
      </c>
      <c r="AR482">
        <f t="shared" si="22"/>
        <v>0.22651323417186101</v>
      </c>
    </row>
    <row r="483" spans="1:44" x14ac:dyDescent="0.25">
      <c r="A483">
        <v>12.870253178523853</v>
      </c>
      <c r="C483">
        <v>0.41572368191555142</v>
      </c>
      <c r="E483">
        <f t="shared" si="21"/>
        <v>0.41572368191555142</v>
      </c>
      <c r="AE483">
        <f t="shared" si="23"/>
        <v>-1.2629338070396909</v>
      </c>
      <c r="AR483">
        <f t="shared" si="22"/>
        <v>9.5662256790911403E-3</v>
      </c>
    </row>
    <row r="484" spans="1:44" x14ac:dyDescent="0.25">
      <c r="A484">
        <v>14.299876531556947</v>
      </c>
      <c r="C484">
        <v>15.992480277607683</v>
      </c>
      <c r="E484">
        <f t="shared" si="21"/>
        <v>15.992480277607683</v>
      </c>
      <c r="AE484">
        <f t="shared" si="23"/>
        <v>0.87344979553640112</v>
      </c>
      <c r="AR484">
        <f t="shared" si="22"/>
        <v>0.37814890809939483</v>
      </c>
    </row>
    <row r="485" spans="1:44" x14ac:dyDescent="0.25">
      <c r="A485">
        <v>20.53656591870822</v>
      </c>
      <c r="C485">
        <v>6.6445118338451721</v>
      </c>
      <c r="E485">
        <f t="shared" si="21"/>
        <v>6.6445118338451721</v>
      </c>
      <c r="AE485">
        <f t="shared" si="23"/>
        <v>-0.40864294167540494</v>
      </c>
      <c r="AR485">
        <f t="shared" si="22"/>
        <v>0.15695399739922913</v>
      </c>
    </row>
    <row r="486" spans="1:44" x14ac:dyDescent="0.25">
      <c r="A486">
        <v>3.7996351440669969</v>
      </c>
      <c r="C486">
        <v>14.258881057874532</v>
      </c>
      <c r="E486">
        <f t="shared" si="21"/>
        <v>14.258881057874532</v>
      </c>
      <c r="AE486">
        <f t="shared" si="23"/>
        <v>0.63568316397069513</v>
      </c>
      <c r="AR486">
        <f t="shared" si="22"/>
        <v>0.33712787482294859</v>
      </c>
    </row>
    <row r="487" spans="1:44" x14ac:dyDescent="0.25">
      <c r="A487">
        <v>0.85321337083587423</v>
      </c>
      <c r="C487">
        <v>2.6529328553879168</v>
      </c>
      <c r="E487">
        <f t="shared" si="21"/>
        <v>2.6529328553879168</v>
      </c>
      <c r="AE487">
        <f t="shared" si="23"/>
        <v>-0.95609605398261432</v>
      </c>
      <c r="AR487">
        <f t="shared" si="22"/>
        <v>6.2503854461311639E-2</v>
      </c>
    </row>
    <row r="488" spans="1:44" x14ac:dyDescent="0.25">
      <c r="A488">
        <v>5.2845671436516568</v>
      </c>
      <c r="C488">
        <v>-10.242280930280685</v>
      </c>
      <c r="E488">
        <f t="shared" si="21"/>
        <v>10.242280930280685</v>
      </c>
      <c r="AE488">
        <f t="shared" si="23"/>
        <v>8.479835056418196E-2</v>
      </c>
      <c r="AR488">
        <f t="shared" si="22"/>
        <v>0.24208567267107681</v>
      </c>
    </row>
    <row r="489" spans="1:44" x14ac:dyDescent="0.25">
      <c r="A489">
        <v>1.1966385702253319</v>
      </c>
      <c r="C489">
        <v>-0.44938767841085792</v>
      </c>
      <c r="E489">
        <f t="shared" si="21"/>
        <v>0.44938767841085792</v>
      </c>
      <c r="AE489">
        <f t="shared" si="23"/>
        <v>-1.2583167219829956</v>
      </c>
      <c r="AR489">
        <f t="shared" si="22"/>
        <v>1.0362794981115099E-2</v>
      </c>
    </row>
    <row r="490" spans="1:44" x14ac:dyDescent="0.25">
      <c r="A490">
        <v>9.1681095202220604</v>
      </c>
      <c r="C490">
        <v>11.243280843889806</v>
      </c>
      <c r="E490">
        <f t="shared" si="21"/>
        <v>11.243280843889806</v>
      </c>
      <c r="AE490">
        <f t="shared" si="23"/>
        <v>0.22208750883516851</v>
      </c>
      <c r="AR490">
        <f t="shared" si="22"/>
        <v>0.26577168400430762</v>
      </c>
    </row>
    <row r="491" spans="1:44" x14ac:dyDescent="0.25">
      <c r="A491">
        <v>-6.6669208334060386</v>
      </c>
      <c r="C491">
        <v>10.12846771319164</v>
      </c>
      <c r="E491">
        <f t="shared" si="21"/>
        <v>10.12846771319164</v>
      </c>
      <c r="AE491">
        <f t="shared" si="23"/>
        <v>6.918863815378741E-2</v>
      </c>
      <c r="AR491">
        <f t="shared" si="22"/>
        <v>0.23939258437687014</v>
      </c>
    </row>
    <row r="492" spans="1:44" x14ac:dyDescent="0.25">
      <c r="A492">
        <v>13.358538146538194</v>
      </c>
      <c r="C492">
        <v>13.469269126479048</v>
      </c>
      <c r="E492">
        <f t="shared" si="21"/>
        <v>13.469269126479048</v>
      </c>
      <c r="AE492">
        <f t="shared" si="23"/>
        <v>0.52738629406272741</v>
      </c>
      <c r="AR492">
        <f t="shared" si="22"/>
        <v>0.31844380012762258</v>
      </c>
    </row>
    <row r="493" spans="1:44" x14ac:dyDescent="0.25">
      <c r="A493">
        <v>2.3467969387711491</v>
      </c>
      <c r="C493">
        <v>11.449599716986995</v>
      </c>
      <c r="E493">
        <f t="shared" si="21"/>
        <v>11.449599716986995</v>
      </c>
      <c r="AE493">
        <f t="shared" si="23"/>
        <v>0.25038455865288933</v>
      </c>
      <c r="AR493">
        <f t="shared" si="22"/>
        <v>0.27065367360290782</v>
      </c>
    </row>
    <row r="494" spans="1:44" x14ac:dyDescent="0.25">
      <c r="A494">
        <v>2.6529328553879168</v>
      </c>
      <c r="C494">
        <v>0.26906766125466675</v>
      </c>
      <c r="E494">
        <f t="shared" si="21"/>
        <v>0.26906766125466675</v>
      </c>
      <c r="AE494">
        <f t="shared" si="23"/>
        <v>-1.2830479762400766</v>
      </c>
      <c r="AR494">
        <f t="shared" si="22"/>
        <v>6.0959994380760047E-3</v>
      </c>
    </row>
    <row r="495" spans="1:44" x14ac:dyDescent="0.25">
      <c r="A495">
        <v>21.125441000738647</v>
      </c>
      <c r="C495">
        <v>0.31333731586346403</v>
      </c>
      <c r="E495">
        <f t="shared" si="21"/>
        <v>0.31333731586346403</v>
      </c>
      <c r="AE495">
        <f t="shared" si="23"/>
        <v>-1.2769763037698207</v>
      </c>
      <c r="AR495">
        <f t="shared" si="22"/>
        <v>7.1435235452475352E-3</v>
      </c>
    </row>
    <row r="496" spans="1:44" x14ac:dyDescent="0.25">
      <c r="A496">
        <v>22.644501789007336</v>
      </c>
      <c r="C496">
        <v>7.4033487382694148</v>
      </c>
      <c r="E496">
        <f t="shared" si="21"/>
        <v>7.4033487382694148</v>
      </c>
      <c r="AE496">
        <f t="shared" si="23"/>
        <v>-0.30456692882367309</v>
      </c>
      <c r="AR496">
        <f t="shared" si="22"/>
        <v>0.17490986260351427</v>
      </c>
    </row>
    <row r="497" spans="1:44" x14ac:dyDescent="0.25">
      <c r="A497">
        <v>7.917758941592183</v>
      </c>
      <c r="C497">
        <v>15.88659235695377</v>
      </c>
      <c r="E497">
        <f t="shared" si="21"/>
        <v>15.88659235695377</v>
      </c>
      <c r="AE497">
        <f t="shared" si="23"/>
        <v>0.85892705352613818</v>
      </c>
      <c r="AR497">
        <f t="shared" si="22"/>
        <v>0.3756433509514247</v>
      </c>
    </row>
    <row r="498" spans="1:44" x14ac:dyDescent="0.25">
      <c r="A498">
        <v>17.070299711311236</v>
      </c>
      <c r="C498">
        <v>10.718604719120776</v>
      </c>
      <c r="E498">
        <f t="shared" si="21"/>
        <v>10.718604719120776</v>
      </c>
      <c r="AE498">
        <f t="shared" si="23"/>
        <v>0.15012711947338575</v>
      </c>
      <c r="AR498">
        <f t="shared" si="22"/>
        <v>0.25335661336484333</v>
      </c>
    </row>
    <row r="499" spans="1:44" x14ac:dyDescent="0.25">
      <c r="A499">
        <v>6.9996467775199562</v>
      </c>
      <c r="C499">
        <v>6.2286340127757285</v>
      </c>
      <c r="E499">
        <f t="shared" si="21"/>
        <v>6.2286340127757285</v>
      </c>
      <c r="AE499">
        <f t="shared" si="23"/>
        <v>-0.46568142411876207</v>
      </c>
      <c r="AR499">
        <f t="shared" si="22"/>
        <v>0.14711335041298304</v>
      </c>
    </row>
    <row r="500" spans="1:44" x14ac:dyDescent="0.25">
      <c r="A500">
        <v>-1.6597659648978151</v>
      </c>
      <c r="C500">
        <v>5.22499524068553</v>
      </c>
      <c r="E500">
        <f t="shared" si="21"/>
        <v>5.22499524068553</v>
      </c>
      <c r="AE500">
        <f t="shared" si="23"/>
        <v>-0.60333250715591291</v>
      </c>
      <c r="AR500">
        <f t="shared" si="22"/>
        <v>0.1233648974840639</v>
      </c>
    </row>
    <row r="501" spans="1:44" x14ac:dyDescent="0.25">
      <c r="A501">
        <v>2.5325157568731811</v>
      </c>
      <c r="C501">
        <v>9.0157236829400063</v>
      </c>
      <c r="E501">
        <f>ABS(C501)</f>
        <v>9.0157236829400063</v>
      </c>
      <c r="AE501">
        <f t="shared" si="23"/>
        <v>-8.3426451225696779E-2</v>
      </c>
      <c r="AR501">
        <f t="shared" si="22"/>
        <v>0.21306244453050741</v>
      </c>
    </row>
    <row r="502" spans="1:44" x14ac:dyDescent="0.25">
      <c r="A502">
        <v>0.77894175975234248</v>
      </c>
    </row>
    <row r="503" spans="1:44" x14ac:dyDescent="0.25">
      <c r="A503">
        <v>15.803350854374003</v>
      </c>
    </row>
    <row r="504" spans="1:44" x14ac:dyDescent="0.25">
      <c r="A504">
        <v>8.4687308319262229</v>
      </c>
    </row>
    <row r="505" spans="1:44" x14ac:dyDescent="0.25">
      <c r="A505">
        <v>-1.9756334748235531</v>
      </c>
    </row>
    <row r="506" spans="1:44" x14ac:dyDescent="0.25">
      <c r="A506">
        <v>0.85616922861663625</v>
      </c>
    </row>
    <row r="507" spans="1:44" x14ac:dyDescent="0.25">
      <c r="A507">
        <v>18.71366568794474</v>
      </c>
    </row>
    <row r="508" spans="1:44" x14ac:dyDescent="0.25">
      <c r="A508">
        <v>4.5690676617668942</v>
      </c>
    </row>
    <row r="509" spans="1:44" x14ac:dyDescent="0.25">
      <c r="A509">
        <v>6.2286340127757285</v>
      </c>
    </row>
    <row r="510" spans="1:44" x14ac:dyDescent="0.25">
      <c r="A510">
        <v>20.352370504231658</v>
      </c>
    </row>
    <row r="511" spans="1:44" x14ac:dyDescent="0.25">
      <c r="A511">
        <v>16.348160918103531</v>
      </c>
    </row>
    <row r="512" spans="1:44" x14ac:dyDescent="0.25">
      <c r="A512">
        <v>23.700743460911326</v>
      </c>
    </row>
    <row r="513" spans="1:1" x14ac:dyDescent="0.25">
      <c r="A513">
        <v>-0.33515514386817813</v>
      </c>
    </row>
    <row r="514" spans="1:1" x14ac:dyDescent="0.25">
      <c r="A514">
        <v>-18.902125682681799</v>
      </c>
    </row>
    <row r="515" spans="1:1" x14ac:dyDescent="0.25">
      <c r="A515">
        <v>4.8934844218892977</v>
      </c>
    </row>
    <row r="516" spans="1:1" x14ac:dyDescent="0.25">
      <c r="A516">
        <v>17.905420483846683</v>
      </c>
    </row>
    <row r="517" spans="1:1" x14ac:dyDescent="0.25">
      <c r="A517">
        <v>6.6120883477269672</v>
      </c>
    </row>
    <row r="518" spans="1:1" x14ac:dyDescent="0.25">
      <c r="A518">
        <v>23.230307326419279</v>
      </c>
    </row>
    <row r="519" spans="1:1" x14ac:dyDescent="0.25">
      <c r="A519">
        <v>-1.1443242139648646E-2</v>
      </c>
    </row>
    <row r="520" spans="1:1" x14ac:dyDescent="0.25">
      <c r="A520">
        <v>10.835474788298598</v>
      </c>
    </row>
    <row r="521" spans="1:1" x14ac:dyDescent="0.25">
      <c r="A521">
        <v>16.774168236413971</v>
      </c>
    </row>
    <row r="522" spans="1:1" x14ac:dyDescent="0.25">
      <c r="A522">
        <v>2.369227351853624</v>
      </c>
    </row>
    <row r="523" spans="1:1" x14ac:dyDescent="0.25">
      <c r="A523">
        <v>3.8847183734178543</v>
      </c>
    </row>
    <row r="524" spans="1:1" x14ac:dyDescent="0.25">
      <c r="A524">
        <v>-3.233260011067614</v>
      </c>
    </row>
    <row r="525" spans="1:1" x14ac:dyDescent="0.25">
      <c r="A525">
        <v>-0.62116849020821974</v>
      </c>
    </row>
    <row r="526" spans="1:1" x14ac:dyDescent="0.25">
      <c r="A526">
        <v>3.7025238472851925</v>
      </c>
    </row>
    <row r="527" spans="1:1" x14ac:dyDescent="0.25">
      <c r="A527">
        <v>8.5460833563120104</v>
      </c>
    </row>
    <row r="528" spans="1:1" x14ac:dyDescent="0.25">
      <c r="A528">
        <v>18.260237104375847</v>
      </c>
    </row>
    <row r="529" spans="1:1" x14ac:dyDescent="0.25">
      <c r="A529">
        <v>9.8849277694243938</v>
      </c>
    </row>
    <row r="530" spans="1:1" x14ac:dyDescent="0.25">
      <c r="A530">
        <v>12.016408183815656</v>
      </c>
    </row>
    <row r="531" spans="1:1" x14ac:dyDescent="0.25">
      <c r="A531">
        <v>33.260305847041309</v>
      </c>
    </row>
    <row r="532" spans="1:1" x14ac:dyDescent="0.25">
      <c r="A532">
        <v>11.097693479503505</v>
      </c>
    </row>
    <row r="533" spans="1:1" x14ac:dyDescent="0.25">
      <c r="A533">
        <v>-2.4168975667562336</v>
      </c>
    </row>
    <row r="534" spans="1:1" x14ac:dyDescent="0.25">
      <c r="A534">
        <v>17.658560884417966</v>
      </c>
    </row>
    <row r="535" spans="1:1" x14ac:dyDescent="0.25">
      <c r="A535">
        <v>-19.658825274556875</v>
      </c>
    </row>
    <row r="536" spans="1:1" x14ac:dyDescent="0.25">
      <c r="A536">
        <v>1.8357518658449408</v>
      </c>
    </row>
    <row r="537" spans="1:1" x14ac:dyDescent="0.25">
      <c r="A537">
        <v>3.1822132970846724</v>
      </c>
    </row>
    <row r="538" spans="1:1" x14ac:dyDescent="0.25">
      <c r="A538">
        <v>11.323214059491875</v>
      </c>
    </row>
    <row r="539" spans="1:1" x14ac:dyDescent="0.25">
      <c r="A539">
        <v>19.077895578637253</v>
      </c>
    </row>
    <row r="540" spans="1:1" x14ac:dyDescent="0.25">
      <c r="A540">
        <v>7.6713768268818967</v>
      </c>
    </row>
    <row r="541" spans="1:1" x14ac:dyDescent="0.25">
      <c r="A541">
        <v>8.5391939339460805</v>
      </c>
    </row>
    <row r="542" spans="1:1" x14ac:dyDescent="0.25">
      <c r="A542">
        <v>9.9893832359230146</v>
      </c>
    </row>
    <row r="543" spans="1:1" x14ac:dyDescent="0.25">
      <c r="A543">
        <v>18.986514098476619</v>
      </c>
    </row>
    <row r="544" spans="1:1" x14ac:dyDescent="0.25">
      <c r="A544">
        <v>3.1581457935390063</v>
      </c>
    </row>
    <row r="545" spans="1:1" x14ac:dyDescent="0.25">
      <c r="A545">
        <v>8.3822037797363009</v>
      </c>
    </row>
    <row r="546" spans="1:1" x14ac:dyDescent="0.25">
      <c r="A546">
        <v>4.2237552608712576</v>
      </c>
    </row>
    <row r="547" spans="1:1" x14ac:dyDescent="0.25">
      <c r="A547">
        <v>14.177197064971551</v>
      </c>
    </row>
    <row r="548" spans="1:1" x14ac:dyDescent="0.25">
      <c r="A548">
        <v>15.637413546035532</v>
      </c>
    </row>
    <row r="549" spans="1:1" x14ac:dyDescent="0.25">
      <c r="A549">
        <v>-12.030893210787326</v>
      </c>
    </row>
    <row r="550" spans="1:1" x14ac:dyDescent="0.25">
      <c r="A550">
        <v>18.430062502564397</v>
      </c>
    </row>
    <row r="551" spans="1:1" x14ac:dyDescent="0.25">
      <c r="A551">
        <v>-10.142236513085663</v>
      </c>
    </row>
    <row r="552" spans="1:1" x14ac:dyDescent="0.25">
      <c r="A552">
        <v>20.065447663189843</v>
      </c>
    </row>
    <row r="553" spans="1:1" x14ac:dyDescent="0.25">
      <c r="A553">
        <v>5.2893306221521925</v>
      </c>
    </row>
    <row r="554" spans="1:1" x14ac:dyDescent="0.25">
      <c r="A554">
        <v>5.3012336340616457</v>
      </c>
    </row>
    <row r="555" spans="1:1" x14ac:dyDescent="0.25">
      <c r="A555">
        <v>8.3098732109647244E-2</v>
      </c>
    </row>
    <row r="556" spans="1:1" x14ac:dyDescent="0.25">
      <c r="A556">
        <v>11.256195668654982</v>
      </c>
    </row>
    <row r="557" spans="1:1" x14ac:dyDescent="0.25">
      <c r="A557">
        <v>0.86208094417816028</v>
      </c>
    </row>
    <row r="558" spans="1:1" x14ac:dyDescent="0.25">
      <c r="A558">
        <v>22.687111615785398</v>
      </c>
    </row>
    <row r="559" spans="1:1" x14ac:dyDescent="0.25">
      <c r="A559">
        <v>9.9005142348760273</v>
      </c>
    </row>
    <row r="560" spans="1:1" x14ac:dyDescent="0.25">
      <c r="A560">
        <v>-3.6891214929637499</v>
      </c>
    </row>
    <row r="561" spans="1:1" x14ac:dyDescent="0.25">
      <c r="A561">
        <v>10.300157575518824</v>
      </c>
    </row>
    <row r="562" spans="1:1" x14ac:dyDescent="0.25">
      <c r="A562">
        <v>12.504818207351491</v>
      </c>
    </row>
    <row r="563" spans="1:1" x14ac:dyDescent="0.25">
      <c r="A563">
        <v>-16.470136850140989</v>
      </c>
    </row>
    <row r="564" spans="1:1" x14ac:dyDescent="0.25">
      <c r="A564">
        <v>10.191904968640301</v>
      </c>
    </row>
    <row r="565" spans="1:1" x14ac:dyDescent="0.25">
      <c r="A565">
        <v>11.370951162651181</v>
      </c>
    </row>
    <row r="566" spans="1:1" x14ac:dyDescent="0.25">
      <c r="A566">
        <v>-6.3256329465657473</v>
      </c>
    </row>
    <row r="567" spans="1:1" x14ac:dyDescent="0.25">
      <c r="A567">
        <v>13.572610461967997</v>
      </c>
    </row>
    <row r="568" spans="1:1" x14ac:dyDescent="0.25">
      <c r="A568">
        <v>2.2748445391771384</v>
      </c>
    </row>
    <row r="569" spans="1:1" x14ac:dyDescent="0.25">
      <c r="A569">
        <v>7.7869394974259194</v>
      </c>
    </row>
    <row r="570" spans="1:1" x14ac:dyDescent="0.25">
      <c r="A570">
        <v>8.4296680344850756</v>
      </c>
    </row>
    <row r="571" spans="1:1" x14ac:dyDescent="0.25">
      <c r="A571">
        <v>13.863591923116473</v>
      </c>
    </row>
    <row r="572" spans="1:1" x14ac:dyDescent="0.25">
      <c r="A572">
        <v>-6.3043507705442607</v>
      </c>
    </row>
    <row r="573" spans="1:1" x14ac:dyDescent="0.25">
      <c r="A573">
        <v>-1.1898300524917431</v>
      </c>
    </row>
    <row r="574" spans="1:1" x14ac:dyDescent="0.25">
      <c r="A574">
        <v>12.037156031699851</v>
      </c>
    </row>
    <row r="575" spans="1:1" x14ac:dyDescent="0.25">
      <c r="A575">
        <v>7.8542648427246604</v>
      </c>
    </row>
    <row r="576" spans="1:1" x14ac:dyDescent="0.25">
      <c r="A576">
        <v>15.88659235695377</v>
      </c>
    </row>
    <row r="577" spans="1:1" x14ac:dyDescent="0.25">
      <c r="A577">
        <v>-1.942982615029905</v>
      </c>
    </row>
    <row r="578" spans="1:1" x14ac:dyDescent="0.25">
      <c r="A578">
        <v>17.369864528707694</v>
      </c>
    </row>
    <row r="579" spans="1:1" x14ac:dyDescent="0.25">
      <c r="A579">
        <v>4.3401592140144203</v>
      </c>
    </row>
    <row r="580" spans="1:1" x14ac:dyDescent="0.25">
      <c r="A580">
        <v>27.141225493513048</v>
      </c>
    </row>
    <row r="581" spans="1:1" x14ac:dyDescent="0.25">
      <c r="A581">
        <v>10.92079676000867</v>
      </c>
    </row>
    <row r="582" spans="1:1" x14ac:dyDescent="0.25">
      <c r="A582">
        <v>4.7800931699457578</v>
      </c>
    </row>
    <row r="583" spans="1:1" x14ac:dyDescent="0.25">
      <c r="A583">
        <v>-5.6269591166637838</v>
      </c>
    </row>
    <row r="584" spans="1:1" x14ac:dyDescent="0.25">
      <c r="A584">
        <v>3.5805378704098985</v>
      </c>
    </row>
    <row r="585" spans="1:1" x14ac:dyDescent="0.25">
      <c r="A585">
        <v>21.439625945466105</v>
      </c>
    </row>
    <row r="586" spans="1:1" x14ac:dyDescent="0.25">
      <c r="A586">
        <v>4.9520331433159299</v>
      </c>
    </row>
    <row r="587" spans="1:1" x14ac:dyDescent="0.25">
      <c r="A587">
        <v>5.5763330439804122</v>
      </c>
    </row>
    <row r="588" spans="1:1" x14ac:dyDescent="0.25">
      <c r="A588">
        <v>3.0788605929119512</v>
      </c>
    </row>
    <row r="589" spans="1:1" x14ac:dyDescent="0.25">
      <c r="A589">
        <v>3.227699400857091</v>
      </c>
    </row>
    <row r="590" spans="1:1" x14ac:dyDescent="0.25">
      <c r="A590">
        <v>11.331297193653882</v>
      </c>
    </row>
    <row r="591" spans="1:1" x14ac:dyDescent="0.25">
      <c r="A591">
        <v>12.449839252629317</v>
      </c>
    </row>
    <row r="592" spans="1:1" x14ac:dyDescent="0.25">
      <c r="A592">
        <v>-1.0645244199549779</v>
      </c>
    </row>
    <row r="593" spans="1:1" x14ac:dyDescent="0.25">
      <c r="A593">
        <v>7.9192937139014248</v>
      </c>
    </row>
    <row r="594" spans="1:1" x14ac:dyDescent="0.25">
      <c r="A594">
        <v>1.7783059067442082</v>
      </c>
    </row>
    <row r="595" spans="1:1" x14ac:dyDescent="0.25">
      <c r="A595">
        <v>9.5565092326141894</v>
      </c>
    </row>
    <row r="596" spans="1:1" x14ac:dyDescent="0.25">
      <c r="A596">
        <v>-3.5478997031459585</v>
      </c>
    </row>
    <row r="597" spans="1:1" x14ac:dyDescent="0.25">
      <c r="A597">
        <v>16.653387340018526</v>
      </c>
    </row>
    <row r="598" spans="1:1" x14ac:dyDescent="0.25">
      <c r="A598">
        <v>-12.483184925979003</v>
      </c>
    </row>
    <row r="599" spans="1:1" x14ac:dyDescent="0.25">
      <c r="A599">
        <v>31.282700567506254</v>
      </c>
    </row>
    <row r="600" spans="1:1" x14ac:dyDescent="0.25">
      <c r="A600">
        <v>9.6595777196926065</v>
      </c>
    </row>
    <row r="601" spans="1:1" x14ac:dyDescent="0.25">
      <c r="A601">
        <v>22.705119610880502</v>
      </c>
    </row>
    <row r="602" spans="1:1" x14ac:dyDescent="0.25">
      <c r="A602">
        <v>6.1594328346545808</v>
      </c>
    </row>
    <row r="603" spans="1:1" x14ac:dyDescent="0.25">
      <c r="A603">
        <v>-5.5460823003086261</v>
      </c>
    </row>
    <row r="604" spans="1:1" x14ac:dyDescent="0.25">
      <c r="A604">
        <v>5.2369209899625275</v>
      </c>
    </row>
    <row r="605" spans="1:1" x14ac:dyDescent="0.25">
      <c r="A605">
        <v>19.80503659270471</v>
      </c>
    </row>
    <row r="606" spans="1:1" x14ac:dyDescent="0.25">
      <c r="A606">
        <v>23.476462067454122</v>
      </c>
    </row>
    <row r="607" spans="1:1" x14ac:dyDescent="0.25">
      <c r="A607">
        <v>7.9353576640714891</v>
      </c>
    </row>
    <row r="608" spans="1:1" x14ac:dyDescent="0.25">
      <c r="A608">
        <v>-1.2530399342649616</v>
      </c>
    </row>
    <row r="609" spans="1:1" x14ac:dyDescent="0.25">
      <c r="A609">
        <v>21.807266441290267</v>
      </c>
    </row>
    <row r="610" spans="1:1" x14ac:dyDescent="0.25">
      <c r="A610">
        <v>3.6916099108639173</v>
      </c>
    </row>
    <row r="611" spans="1:1" x14ac:dyDescent="0.25">
      <c r="A611">
        <v>15.409994395857211</v>
      </c>
    </row>
    <row r="612" spans="1:1" x14ac:dyDescent="0.25">
      <c r="A612">
        <v>-3.4810973173007369</v>
      </c>
    </row>
    <row r="613" spans="1:1" x14ac:dyDescent="0.25">
      <c r="A613">
        <v>4.5349729791341815</v>
      </c>
    </row>
    <row r="614" spans="1:1" x14ac:dyDescent="0.25">
      <c r="A614">
        <v>3.4434770188527182</v>
      </c>
    </row>
    <row r="615" spans="1:1" x14ac:dyDescent="0.25">
      <c r="A615">
        <v>-2.2835883808438666</v>
      </c>
    </row>
    <row r="616" spans="1:1" x14ac:dyDescent="0.25">
      <c r="A616">
        <v>17.725840754981618</v>
      </c>
    </row>
    <row r="617" spans="1:1" x14ac:dyDescent="0.25">
      <c r="A617">
        <v>22.789111446589231</v>
      </c>
    </row>
    <row r="618" spans="1:1" x14ac:dyDescent="0.25">
      <c r="A618">
        <v>16.091842573776376</v>
      </c>
    </row>
    <row r="619" spans="1:1" x14ac:dyDescent="0.25">
      <c r="A619">
        <v>8.6940126695553772</v>
      </c>
    </row>
    <row r="620" spans="1:1" x14ac:dyDescent="0.25">
      <c r="A620">
        <v>10.004207999561913</v>
      </c>
    </row>
    <row r="621" spans="1:1" x14ac:dyDescent="0.25">
      <c r="A621">
        <v>7.6989345163456164</v>
      </c>
    </row>
    <row r="622" spans="1:1" x14ac:dyDescent="0.25">
      <c r="A622">
        <v>8.4380922291602474</v>
      </c>
    </row>
    <row r="623" spans="1:1" x14ac:dyDescent="0.25">
      <c r="A623">
        <v>17.271820999856573</v>
      </c>
    </row>
    <row r="624" spans="1:1" x14ac:dyDescent="0.25">
      <c r="A624">
        <v>1.0979583950829692</v>
      </c>
    </row>
    <row r="625" spans="1:1" x14ac:dyDescent="0.25">
      <c r="A625">
        <v>20.808050087187439</v>
      </c>
    </row>
    <row r="626" spans="1:1" x14ac:dyDescent="0.25">
      <c r="A626">
        <v>18.90852492779959</v>
      </c>
    </row>
    <row r="627" spans="1:1" x14ac:dyDescent="0.25">
      <c r="A627">
        <v>11.243280843889806</v>
      </c>
    </row>
    <row r="628" spans="1:1" x14ac:dyDescent="0.25">
      <c r="A628">
        <v>9.9363596948096529</v>
      </c>
    </row>
    <row r="629" spans="1:1" x14ac:dyDescent="0.25">
      <c r="A629">
        <v>20.453074305085465</v>
      </c>
    </row>
    <row r="630" spans="1:1" x14ac:dyDescent="0.25">
      <c r="A630">
        <v>1.3453409539652057</v>
      </c>
    </row>
    <row r="631" spans="1:1" x14ac:dyDescent="0.25">
      <c r="A631">
        <v>3.5324142320023384</v>
      </c>
    </row>
    <row r="632" spans="1:1" x14ac:dyDescent="0.25">
      <c r="A632">
        <v>20.842883734265342</v>
      </c>
    </row>
    <row r="633" spans="1:1" x14ac:dyDescent="0.25">
      <c r="A633">
        <v>8.6280743036768399</v>
      </c>
    </row>
    <row r="634" spans="1:1" x14ac:dyDescent="0.25">
      <c r="A634">
        <v>22.018678484717384</v>
      </c>
    </row>
    <row r="635" spans="1:1" x14ac:dyDescent="0.25">
      <c r="A635">
        <v>8.9135192158282734</v>
      </c>
    </row>
    <row r="636" spans="1:1" x14ac:dyDescent="0.25">
      <c r="A636">
        <v>26.772243493003771</v>
      </c>
    </row>
    <row r="637" spans="1:1" x14ac:dyDescent="0.25">
      <c r="A637">
        <v>1.6468611849704757</v>
      </c>
    </row>
    <row r="638" spans="1:1" x14ac:dyDescent="0.25">
      <c r="A638">
        <v>15.418066161335446</v>
      </c>
    </row>
    <row r="639" spans="1:1" x14ac:dyDescent="0.25">
      <c r="A639">
        <v>-5.4831680043134838</v>
      </c>
    </row>
    <row r="640" spans="1:1" x14ac:dyDescent="0.25">
      <c r="A640">
        <v>-5.0158014144399203</v>
      </c>
    </row>
    <row r="641" spans="1:1" x14ac:dyDescent="0.25">
      <c r="A641">
        <v>0.26906766125466675</v>
      </c>
    </row>
    <row r="642" spans="1:1" x14ac:dyDescent="0.25">
      <c r="A642">
        <v>17.09687969397055</v>
      </c>
    </row>
    <row r="643" spans="1:1" x14ac:dyDescent="0.25">
      <c r="A643">
        <v>5.3139210851513781</v>
      </c>
    </row>
    <row r="644" spans="1:1" x14ac:dyDescent="0.25">
      <c r="A644">
        <v>0.31333731586346403</v>
      </c>
    </row>
    <row r="645" spans="1:1" x14ac:dyDescent="0.25">
      <c r="A645">
        <v>9.7775846572476439</v>
      </c>
    </row>
    <row r="646" spans="1:1" x14ac:dyDescent="0.25">
      <c r="A646">
        <v>-7.8871444000396878</v>
      </c>
    </row>
    <row r="647" spans="1:1" x14ac:dyDescent="0.25">
      <c r="A647">
        <v>6.0496113494154997</v>
      </c>
    </row>
    <row r="648" spans="1:1" x14ac:dyDescent="0.25">
      <c r="A648">
        <v>-6.2344561027130112</v>
      </c>
    </row>
    <row r="649" spans="1:1" x14ac:dyDescent="0.25">
      <c r="A649">
        <v>12.614298632077407</v>
      </c>
    </row>
    <row r="650" spans="1:1" x14ac:dyDescent="0.25">
      <c r="A650">
        <v>-0.39486347103957087</v>
      </c>
    </row>
    <row r="651" spans="1:1" x14ac:dyDescent="0.25">
      <c r="A651">
        <v>-4.3622157843783498</v>
      </c>
    </row>
    <row r="652" spans="1:1" x14ac:dyDescent="0.25">
      <c r="A652">
        <v>-4.2189476314815693</v>
      </c>
    </row>
    <row r="653" spans="1:1" x14ac:dyDescent="0.25">
      <c r="A653">
        <v>26.11849870136939</v>
      </c>
    </row>
    <row r="654" spans="1:1" x14ac:dyDescent="0.25">
      <c r="A654">
        <v>-0.3970462583238259</v>
      </c>
    </row>
    <row r="655" spans="1:1" x14ac:dyDescent="0.25">
      <c r="A655">
        <v>6.677708390459884</v>
      </c>
    </row>
    <row r="656" spans="1:1" x14ac:dyDescent="0.25">
      <c r="A656">
        <v>2.8888671497115865</v>
      </c>
    </row>
    <row r="657" spans="1:1" x14ac:dyDescent="0.25">
      <c r="A657">
        <v>-7.2083885041065514</v>
      </c>
    </row>
    <row r="658" spans="1:1" x14ac:dyDescent="0.25">
      <c r="A658">
        <v>21.937415133113973</v>
      </c>
    </row>
    <row r="659" spans="1:1" x14ac:dyDescent="0.25">
      <c r="A659">
        <v>-6.1611053550150245</v>
      </c>
    </row>
    <row r="660" spans="1:1" x14ac:dyDescent="0.25">
      <c r="A660">
        <v>9.7379534256178886</v>
      </c>
    </row>
    <row r="661" spans="1:1" x14ac:dyDescent="0.25">
      <c r="A661">
        <v>1.870869730017148</v>
      </c>
    </row>
    <row r="662" spans="1:1" x14ac:dyDescent="0.25">
      <c r="A662">
        <v>20.386908565531485</v>
      </c>
    </row>
    <row r="663" spans="1:1" x14ac:dyDescent="0.25">
      <c r="A663">
        <v>11.017521521542221</v>
      </c>
    </row>
    <row r="664" spans="1:1" x14ac:dyDescent="0.25">
      <c r="A664">
        <v>18.488224688742775</v>
      </c>
    </row>
    <row r="665" spans="1:1" x14ac:dyDescent="0.25">
      <c r="A665">
        <v>17.611085260985419</v>
      </c>
    </row>
    <row r="666" spans="1:1" x14ac:dyDescent="0.25">
      <c r="A666">
        <v>10.167610091419192</v>
      </c>
    </row>
    <row r="667" spans="1:1" x14ac:dyDescent="0.25">
      <c r="A667">
        <v>9.1011252354364842</v>
      </c>
    </row>
    <row r="668" spans="1:1" x14ac:dyDescent="0.25">
      <c r="A668">
        <v>11.362038114573807</v>
      </c>
    </row>
    <row r="669" spans="1:1" x14ac:dyDescent="0.25">
      <c r="A669">
        <v>-4.0101958600571379</v>
      </c>
    </row>
    <row r="670" spans="1:1" x14ac:dyDescent="0.25">
      <c r="A670">
        <v>-11.070012058364227</v>
      </c>
    </row>
    <row r="671" spans="1:1" x14ac:dyDescent="0.25">
      <c r="A671">
        <v>20.246437108842656</v>
      </c>
    </row>
    <row r="672" spans="1:1" x14ac:dyDescent="0.25">
      <c r="A672">
        <v>22.631132216891274</v>
      </c>
    </row>
    <row r="673" spans="1:1" x14ac:dyDescent="0.25">
      <c r="A673">
        <v>-1.845621207205113</v>
      </c>
    </row>
    <row r="674" spans="1:1" x14ac:dyDescent="0.25">
      <c r="A674">
        <v>1.4139168544788845</v>
      </c>
    </row>
    <row r="675" spans="1:1" x14ac:dyDescent="0.25">
      <c r="A675">
        <v>9.4072384146857075</v>
      </c>
    </row>
    <row r="676" spans="1:1" x14ac:dyDescent="0.25">
      <c r="A676">
        <v>8.5958895599178504</v>
      </c>
    </row>
    <row r="677" spans="1:1" x14ac:dyDescent="0.25">
      <c r="A677">
        <v>12.91078253617161</v>
      </c>
    </row>
    <row r="678" spans="1:1" x14ac:dyDescent="0.25">
      <c r="A678">
        <v>6.8187937560724095</v>
      </c>
    </row>
    <row r="679" spans="1:1" x14ac:dyDescent="0.25">
      <c r="A679">
        <v>7.9192937139014248</v>
      </c>
    </row>
    <row r="680" spans="1:1" x14ac:dyDescent="0.25">
      <c r="A680">
        <v>8.3416289473534562</v>
      </c>
    </row>
    <row r="681" spans="1:1" x14ac:dyDescent="0.25">
      <c r="A681">
        <v>-10.299124349141493</v>
      </c>
    </row>
    <row r="682" spans="1:1" x14ac:dyDescent="0.25">
      <c r="A682">
        <v>0.15613115666201338</v>
      </c>
    </row>
    <row r="683" spans="1:1" x14ac:dyDescent="0.25">
      <c r="A683">
        <v>9.9114168026135303</v>
      </c>
    </row>
    <row r="684" spans="1:1" x14ac:dyDescent="0.25">
      <c r="A684">
        <v>19.073666428274009</v>
      </c>
    </row>
    <row r="685" spans="1:1" x14ac:dyDescent="0.25">
      <c r="A685">
        <v>-3.9054448077804409</v>
      </c>
    </row>
    <row r="686" spans="1:1" x14ac:dyDescent="0.25">
      <c r="A686">
        <v>17.214363672072068</v>
      </c>
    </row>
    <row r="687" spans="1:1" x14ac:dyDescent="0.25">
      <c r="A687">
        <v>4.6598011269525159</v>
      </c>
    </row>
    <row r="688" spans="1:1" x14ac:dyDescent="0.25">
      <c r="A688">
        <v>-2.9043639895389788</v>
      </c>
    </row>
    <row r="689" spans="1:1" x14ac:dyDescent="0.25">
      <c r="A689">
        <v>21.396356735029258</v>
      </c>
    </row>
    <row r="690" spans="1:1" x14ac:dyDescent="0.25">
      <c r="A690">
        <v>22.3470515467925</v>
      </c>
    </row>
    <row r="691" spans="1:1" x14ac:dyDescent="0.25">
      <c r="A691">
        <v>13.157392024557339</v>
      </c>
    </row>
    <row r="692" spans="1:1" x14ac:dyDescent="0.25">
      <c r="A692">
        <v>-16.990731617435813</v>
      </c>
    </row>
    <row r="693" spans="1:1" x14ac:dyDescent="0.25">
      <c r="A693">
        <v>7.2331140674650669</v>
      </c>
    </row>
    <row r="694" spans="1:1" x14ac:dyDescent="0.25">
      <c r="A694">
        <v>10.225601747340988</v>
      </c>
    </row>
    <row r="695" spans="1:1" x14ac:dyDescent="0.25">
      <c r="A695">
        <v>-1.7726115200202912</v>
      </c>
    </row>
    <row r="696" spans="1:1" x14ac:dyDescent="0.25">
      <c r="A696">
        <v>15.388871381408535</v>
      </c>
    </row>
    <row r="697" spans="1:1" x14ac:dyDescent="0.25">
      <c r="A697">
        <v>-7.6614987645298243</v>
      </c>
    </row>
    <row r="698" spans="1:1" x14ac:dyDescent="0.25">
      <c r="A698">
        <v>-8.6297922987723723</v>
      </c>
    </row>
    <row r="699" spans="1:1" x14ac:dyDescent="0.25">
      <c r="A699">
        <v>7.8282532942539547</v>
      </c>
    </row>
    <row r="700" spans="1:1" x14ac:dyDescent="0.25">
      <c r="A700">
        <v>7.4401150615885854</v>
      </c>
    </row>
    <row r="701" spans="1:1" x14ac:dyDescent="0.25">
      <c r="A701">
        <v>5.0879912325472105</v>
      </c>
    </row>
    <row r="702" spans="1:1" x14ac:dyDescent="0.25">
      <c r="A702">
        <v>-3.8142452265601605</v>
      </c>
    </row>
    <row r="703" spans="1:1" x14ac:dyDescent="0.25">
      <c r="A703">
        <v>22.579973139916547</v>
      </c>
    </row>
    <row r="704" spans="1:1" x14ac:dyDescent="0.25">
      <c r="A704">
        <v>17.935456546372734</v>
      </c>
    </row>
    <row r="705" spans="1:1" x14ac:dyDescent="0.25">
      <c r="A705">
        <v>7.8160092218313366</v>
      </c>
    </row>
    <row r="706" spans="1:1" x14ac:dyDescent="0.25">
      <c r="A706">
        <v>11.805007509072311</v>
      </c>
    </row>
    <row r="707" spans="1:1" x14ac:dyDescent="0.25">
      <c r="A707">
        <v>7.7685790731338784</v>
      </c>
    </row>
    <row r="708" spans="1:1" x14ac:dyDescent="0.25">
      <c r="A708">
        <v>10.013575794990174</v>
      </c>
    </row>
    <row r="709" spans="1:1" x14ac:dyDescent="0.25">
      <c r="A709">
        <v>3.5847556520893704</v>
      </c>
    </row>
    <row r="710" spans="1:1" x14ac:dyDescent="0.25">
      <c r="A710">
        <v>22.786837709834799</v>
      </c>
    </row>
    <row r="711" spans="1:1" x14ac:dyDescent="0.25">
      <c r="A711">
        <v>4.9007149047683924</v>
      </c>
    </row>
    <row r="712" spans="1:1" x14ac:dyDescent="0.25">
      <c r="A712">
        <v>4.9752707329462282</v>
      </c>
    </row>
    <row r="713" spans="1:1" x14ac:dyDescent="0.25">
      <c r="A713">
        <v>8.8897018233255949</v>
      </c>
    </row>
    <row r="714" spans="1:1" x14ac:dyDescent="0.25">
      <c r="A714">
        <v>7.4033487382694148</v>
      </c>
    </row>
    <row r="715" spans="1:1" x14ac:dyDescent="0.25">
      <c r="A715">
        <v>1.7699385554878972</v>
      </c>
    </row>
    <row r="716" spans="1:1" x14ac:dyDescent="0.25">
      <c r="A716">
        <v>-5.6599282996030524</v>
      </c>
    </row>
    <row r="717" spans="1:1" x14ac:dyDescent="0.25">
      <c r="A717">
        <v>7.2354219102708157</v>
      </c>
    </row>
    <row r="718" spans="1:1" x14ac:dyDescent="0.25">
      <c r="A718">
        <v>-8.1071511683985591</v>
      </c>
    </row>
    <row r="719" spans="1:1" x14ac:dyDescent="0.25">
      <c r="A719">
        <v>17.123527888732497</v>
      </c>
    </row>
    <row r="720" spans="1:1" x14ac:dyDescent="0.25">
      <c r="A720">
        <v>2.8216327538830228</v>
      </c>
    </row>
    <row r="721" spans="1:1" x14ac:dyDescent="0.25">
      <c r="A721">
        <v>-14.189487935975194</v>
      </c>
    </row>
    <row r="722" spans="1:1" x14ac:dyDescent="0.25">
      <c r="A722">
        <v>5.4958996062923688</v>
      </c>
    </row>
    <row r="723" spans="1:1" x14ac:dyDescent="0.25">
      <c r="A723">
        <v>-1.5132236310746521</v>
      </c>
    </row>
    <row r="724" spans="1:1" x14ac:dyDescent="0.25">
      <c r="A724">
        <v>-6.3706074595684186</v>
      </c>
    </row>
    <row r="725" spans="1:1" x14ac:dyDescent="0.25">
      <c r="A725">
        <v>-1.0934008767362684</v>
      </c>
    </row>
    <row r="726" spans="1:1" x14ac:dyDescent="0.25">
      <c r="A726">
        <v>8.5307583705871366</v>
      </c>
    </row>
    <row r="727" spans="1:1" x14ac:dyDescent="0.25">
      <c r="A727">
        <v>12.447315404831897</v>
      </c>
    </row>
    <row r="728" spans="1:1" x14ac:dyDescent="0.25">
      <c r="A728">
        <v>15.724747774773277</v>
      </c>
    </row>
    <row r="729" spans="1:1" x14ac:dyDescent="0.25">
      <c r="A729">
        <v>-6.6669208334060386</v>
      </c>
    </row>
    <row r="730" spans="1:1" x14ac:dyDescent="0.25">
      <c r="A730">
        <v>25.527008822071366</v>
      </c>
    </row>
    <row r="731" spans="1:1" x14ac:dyDescent="0.25">
      <c r="A731">
        <v>12.500577688304475</v>
      </c>
    </row>
    <row r="732" spans="1:1" x14ac:dyDescent="0.25">
      <c r="A732">
        <v>20.262626114534214</v>
      </c>
    </row>
    <row r="733" spans="1:1" x14ac:dyDescent="0.25">
      <c r="A733">
        <v>-1.2295749709592201</v>
      </c>
    </row>
    <row r="734" spans="1:1" x14ac:dyDescent="0.25">
      <c r="A734">
        <v>28.745756046380848</v>
      </c>
    </row>
    <row r="735" spans="1:1" x14ac:dyDescent="0.25">
      <c r="A735">
        <v>11.488594302325509</v>
      </c>
    </row>
    <row r="736" spans="1:1" x14ac:dyDescent="0.25">
      <c r="A736">
        <v>15.708263183303643</v>
      </c>
    </row>
    <row r="737" spans="1:1" x14ac:dyDescent="0.25">
      <c r="A737">
        <v>10.922388375736773</v>
      </c>
    </row>
    <row r="738" spans="1:1" x14ac:dyDescent="0.25">
      <c r="A738">
        <v>-10.218088371213526</v>
      </c>
    </row>
    <row r="739" spans="1:1" x14ac:dyDescent="0.25">
      <c r="A739">
        <v>3.8605485517182387</v>
      </c>
    </row>
    <row r="740" spans="1:1" x14ac:dyDescent="0.25">
      <c r="A740">
        <v>0.15926891338312998</v>
      </c>
    </row>
    <row r="741" spans="1:1" x14ac:dyDescent="0.25">
      <c r="A741">
        <v>1.6168705971795134</v>
      </c>
    </row>
    <row r="742" spans="1:1" x14ac:dyDescent="0.25">
      <c r="A742">
        <v>6.3574866746494081</v>
      </c>
    </row>
    <row r="743" spans="1:1" x14ac:dyDescent="0.25">
      <c r="A743">
        <v>7.4401150615885854</v>
      </c>
    </row>
    <row r="744" spans="1:1" x14ac:dyDescent="0.25">
      <c r="A744">
        <v>13.20462890563067</v>
      </c>
    </row>
    <row r="745" spans="1:1" x14ac:dyDescent="0.25">
      <c r="A745">
        <v>4.859742168453522</v>
      </c>
    </row>
    <row r="746" spans="1:1" x14ac:dyDescent="0.25">
      <c r="A746">
        <v>11.828870376310078</v>
      </c>
    </row>
    <row r="747" spans="1:1" x14ac:dyDescent="0.25">
      <c r="A747">
        <v>6.0620941641973332</v>
      </c>
    </row>
    <row r="748" spans="1:1" x14ac:dyDescent="0.25">
      <c r="A748">
        <v>2.5759896036179271</v>
      </c>
    </row>
    <row r="749" spans="1:1" x14ac:dyDescent="0.25">
      <c r="A749">
        <v>13.377091838454362</v>
      </c>
    </row>
    <row r="750" spans="1:1" x14ac:dyDescent="0.25">
      <c r="A750">
        <v>-4.7543898997828364</v>
      </c>
    </row>
    <row r="751" spans="1:1" x14ac:dyDescent="0.25">
      <c r="A751">
        <v>6.3474026521435007</v>
      </c>
    </row>
    <row r="752" spans="1:1" x14ac:dyDescent="0.25">
      <c r="A752">
        <v>-2.9251686808420345</v>
      </c>
    </row>
    <row r="753" spans="1:1" x14ac:dyDescent="0.25">
      <c r="A753">
        <v>10.718604719120776</v>
      </c>
    </row>
    <row r="754" spans="1:1" x14ac:dyDescent="0.25">
      <c r="A754">
        <v>20.860346032539383</v>
      </c>
    </row>
    <row r="755" spans="1:1" x14ac:dyDescent="0.25">
      <c r="A755">
        <v>-5.1890601551276632</v>
      </c>
    </row>
    <row r="756" spans="1:1" x14ac:dyDescent="0.25">
      <c r="A756">
        <v>1.0756303001544438</v>
      </c>
    </row>
    <row r="757" spans="1:1" x14ac:dyDescent="0.25">
      <c r="A757">
        <v>1.3300614429754205</v>
      </c>
    </row>
    <row r="758" spans="1:1" x14ac:dyDescent="0.25">
      <c r="A758">
        <v>5.5637365423608571</v>
      </c>
    </row>
    <row r="759" spans="1:1" x14ac:dyDescent="0.25">
      <c r="A759">
        <v>1.4006154944654554</v>
      </c>
    </row>
    <row r="760" spans="1:1" x14ac:dyDescent="0.25">
      <c r="A760">
        <v>16.151414476742502</v>
      </c>
    </row>
    <row r="761" spans="1:1" x14ac:dyDescent="0.25">
      <c r="A761">
        <v>5.238501237006858</v>
      </c>
    </row>
    <row r="762" spans="1:1" x14ac:dyDescent="0.25">
      <c r="A762">
        <v>-16.804103304632008</v>
      </c>
    </row>
    <row r="763" spans="1:1" x14ac:dyDescent="0.25">
      <c r="A763">
        <v>2.1980831863475032</v>
      </c>
    </row>
    <row r="764" spans="1:1" x14ac:dyDescent="0.25">
      <c r="A764">
        <v>8.7968083082232624</v>
      </c>
    </row>
    <row r="765" spans="1:1" x14ac:dyDescent="0.25">
      <c r="A765">
        <v>14.828440746176057</v>
      </c>
    </row>
    <row r="766" spans="1:1" x14ac:dyDescent="0.25">
      <c r="A766">
        <v>-5.7224105856148526</v>
      </c>
    </row>
    <row r="767" spans="1:1" x14ac:dyDescent="0.25">
      <c r="A767">
        <v>18.635221769916825</v>
      </c>
    </row>
    <row r="768" spans="1:1" x14ac:dyDescent="0.25">
      <c r="A768">
        <v>7.4339987097191624</v>
      </c>
    </row>
    <row r="769" spans="1:1" x14ac:dyDescent="0.25">
      <c r="A769">
        <v>10.278966348967515</v>
      </c>
    </row>
    <row r="770" spans="1:1" x14ac:dyDescent="0.25">
      <c r="A770">
        <v>7.5190250956511591</v>
      </c>
    </row>
    <row r="771" spans="1:1" x14ac:dyDescent="0.25">
      <c r="A771">
        <v>-2.4037553683156148</v>
      </c>
    </row>
    <row r="772" spans="1:1" x14ac:dyDescent="0.25">
      <c r="A772">
        <v>9.0688040674722288</v>
      </c>
    </row>
    <row r="773" spans="1:1" x14ac:dyDescent="0.25">
      <c r="A773">
        <v>5.6998424244811758</v>
      </c>
    </row>
    <row r="774" spans="1:1" x14ac:dyDescent="0.25">
      <c r="A774">
        <v>6.5896806720120367</v>
      </c>
    </row>
    <row r="775" spans="1:1" x14ac:dyDescent="0.25">
      <c r="A775">
        <v>10.833883172570495</v>
      </c>
    </row>
    <row r="776" spans="1:1" x14ac:dyDescent="0.25">
      <c r="A776">
        <v>1.7550683171139099</v>
      </c>
    </row>
    <row r="777" spans="1:1" x14ac:dyDescent="0.25">
      <c r="A777">
        <v>5.6573917592759244</v>
      </c>
    </row>
    <row r="778" spans="1:1" x14ac:dyDescent="0.25">
      <c r="A778">
        <v>6.3784164214739576</v>
      </c>
    </row>
    <row r="779" spans="1:1" x14ac:dyDescent="0.25">
      <c r="A779">
        <v>-0.63005880091805011</v>
      </c>
    </row>
    <row r="780" spans="1:1" x14ac:dyDescent="0.25">
      <c r="A780">
        <v>2.5609260976198129</v>
      </c>
    </row>
    <row r="781" spans="1:1" x14ac:dyDescent="0.25">
      <c r="A781">
        <v>12.13360794482287</v>
      </c>
    </row>
    <row r="782" spans="1:1" x14ac:dyDescent="0.25">
      <c r="A782">
        <v>13.230049282545224</v>
      </c>
    </row>
    <row r="783" spans="1:1" x14ac:dyDescent="0.25">
      <c r="A783">
        <v>1.5020468910806812</v>
      </c>
    </row>
    <row r="784" spans="1:1" x14ac:dyDescent="0.25">
      <c r="A784">
        <v>15.166568138927687</v>
      </c>
    </row>
    <row r="785" spans="1:1" x14ac:dyDescent="0.25">
      <c r="A785">
        <v>10.027627488132566</v>
      </c>
    </row>
    <row r="786" spans="1:1" x14ac:dyDescent="0.25">
      <c r="A786">
        <v>-16.854307412169874</v>
      </c>
    </row>
    <row r="787" spans="1:1" x14ac:dyDescent="0.25">
      <c r="A787">
        <v>26.238279153592885</v>
      </c>
    </row>
    <row r="788" spans="1:1" x14ac:dyDescent="0.25">
      <c r="A788">
        <v>1.6412450551870279</v>
      </c>
    </row>
    <row r="789" spans="1:1" x14ac:dyDescent="0.25">
      <c r="A789">
        <v>12.790308594238013</v>
      </c>
    </row>
    <row r="790" spans="1:1" x14ac:dyDescent="0.25">
      <c r="A790">
        <v>7.479200596397277</v>
      </c>
    </row>
    <row r="791" spans="1:1" x14ac:dyDescent="0.25">
      <c r="A791">
        <v>6.3047359819465782</v>
      </c>
    </row>
    <row r="792" spans="1:1" x14ac:dyDescent="0.25">
      <c r="A792">
        <v>7.948363438306842</v>
      </c>
    </row>
    <row r="793" spans="1:1" x14ac:dyDescent="0.25">
      <c r="A793">
        <v>-0.54047357279341668</v>
      </c>
    </row>
    <row r="794" spans="1:1" x14ac:dyDescent="0.25">
      <c r="A794">
        <v>21.019371181144379</v>
      </c>
    </row>
    <row r="795" spans="1:1" x14ac:dyDescent="0.25">
      <c r="A795">
        <v>5.8957816892943811</v>
      </c>
    </row>
    <row r="796" spans="1:1" x14ac:dyDescent="0.25">
      <c r="A796">
        <v>4.084557096764911</v>
      </c>
    </row>
    <row r="797" spans="1:1" x14ac:dyDescent="0.25">
      <c r="A797">
        <v>8.6411141839635093</v>
      </c>
    </row>
    <row r="798" spans="1:1" x14ac:dyDescent="0.25">
      <c r="A798">
        <v>6.2884446581010707</v>
      </c>
    </row>
    <row r="799" spans="1:1" x14ac:dyDescent="0.25">
      <c r="A799">
        <v>17.676864465291146</v>
      </c>
    </row>
    <row r="800" spans="1:1" x14ac:dyDescent="0.25">
      <c r="A800">
        <v>6.5981730787898414</v>
      </c>
    </row>
    <row r="801" spans="1:1" x14ac:dyDescent="0.25">
      <c r="A801">
        <v>-3.0215523818624206</v>
      </c>
    </row>
    <row r="802" spans="1:1" x14ac:dyDescent="0.25">
      <c r="A802">
        <v>-5.6076096168835647</v>
      </c>
    </row>
    <row r="803" spans="1:1" x14ac:dyDescent="0.25">
      <c r="A803">
        <v>19.413339962018654</v>
      </c>
    </row>
    <row r="804" spans="1:1" x14ac:dyDescent="0.25">
      <c r="A804">
        <v>24.242984202108346</v>
      </c>
    </row>
    <row r="805" spans="1:1" x14ac:dyDescent="0.25">
      <c r="A805">
        <v>18.451185517013073</v>
      </c>
    </row>
    <row r="806" spans="1:1" x14ac:dyDescent="0.25">
      <c r="A806">
        <v>26.368973542237654</v>
      </c>
    </row>
    <row r="807" spans="1:1" x14ac:dyDescent="0.25">
      <c r="A807">
        <v>-19.694477466866374</v>
      </c>
    </row>
    <row r="808" spans="1:1" x14ac:dyDescent="0.25">
      <c r="A808">
        <v>12.262278707756195</v>
      </c>
    </row>
    <row r="809" spans="1:1" x14ac:dyDescent="0.25">
      <c r="A809">
        <v>-3.1005419967113994</v>
      </c>
    </row>
    <row r="810" spans="1:1" x14ac:dyDescent="0.25">
      <c r="A810">
        <v>9.6960370885499287</v>
      </c>
    </row>
    <row r="811" spans="1:1" x14ac:dyDescent="0.25">
      <c r="A811">
        <v>11.431739514780929</v>
      </c>
    </row>
    <row r="812" spans="1:1" x14ac:dyDescent="0.25">
      <c r="A812">
        <v>-1.5566065283492208</v>
      </c>
    </row>
    <row r="813" spans="1:1" x14ac:dyDescent="0.25">
      <c r="A813">
        <v>3.6302531245455611</v>
      </c>
    </row>
    <row r="814" spans="1:1" x14ac:dyDescent="0.25">
      <c r="A814">
        <v>-3.9646983876009472</v>
      </c>
    </row>
    <row r="815" spans="1:1" x14ac:dyDescent="0.25">
      <c r="A815">
        <v>14.413165465346538</v>
      </c>
    </row>
    <row r="816" spans="1:1" x14ac:dyDescent="0.25">
      <c r="A816">
        <v>-5.9475105243036523</v>
      </c>
    </row>
    <row r="817" spans="1:1" x14ac:dyDescent="0.25">
      <c r="A817">
        <v>7.4508470990695059</v>
      </c>
    </row>
    <row r="818" spans="1:1" x14ac:dyDescent="0.25">
      <c r="A818">
        <v>3.6773308440460823</v>
      </c>
    </row>
    <row r="819" spans="1:1" x14ac:dyDescent="0.25">
      <c r="A819">
        <v>-0.63117293192772195</v>
      </c>
    </row>
    <row r="820" spans="1:1" x14ac:dyDescent="0.25">
      <c r="A820">
        <v>-1.9379576568026096</v>
      </c>
    </row>
    <row r="821" spans="1:1" x14ac:dyDescent="0.25">
      <c r="A821">
        <v>11.449599716986995</v>
      </c>
    </row>
    <row r="822" spans="1:1" x14ac:dyDescent="0.25">
      <c r="A822">
        <v>8.5583387974184006</v>
      </c>
    </row>
    <row r="823" spans="1:1" x14ac:dyDescent="0.25">
      <c r="A823">
        <v>-3.1730741991777904</v>
      </c>
    </row>
    <row r="824" spans="1:1" x14ac:dyDescent="0.25">
      <c r="A824">
        <v>4.6379618854261935</v>
      </c>
    </row>
    <row r="825" spans="1:1" x14ac:dyDescent="0.25">
      <c r="A825">
        <v>3.3652604745002463</v>
      </c>
    </row>
    <row r="826" spans="1:1" x14ac:dyDescent="0.25">
      <c r="A826">
        <v>5.4224238030728884</v>
      </c>
    </row>
    <row r="827" spans="1:1" x14ac:dyDescent="0.25">
      <c r="A827">
        <v>-5.4679794427938759</v>
      </c>
    </row>
    <row r="828" spans="1:1" x14ac:dyDescent="0.25">
      <c r="A828">
        <v>9.602211341378279</v>
      </c>
    </row>
    <row r="829" spans="1:1" x14ac:dyDescent="0.25">
      <c r="A829">
        <v>-6.8119852383388206</v>
      </c>
    </row>
    <row r="830" spans="1:1" x14ac:dyDescent="0.25">
      <c r="A830">
        <v>9.3716999092139304</v>
      </c>
    </row>
    <row r="831" spans="1:1" x14ac:dyDescent="0.25">
      <c r="A831">
        <v>0.29378317977534607</v>
      </c>
    </row>
    <row r="832" spans="1:1" x14ac:dyDescent="0.25">
      <c r="A832">
        <v>27.169965526089072</v>
      </c>
    </row>
    <row r="833" spans="1:1" x14ac:dyDescent="0.25">
      <c r="A833">
        <v>11.146681137877749</v>
      </c>
    </row>
    <row r="834" spans="1:1" x14ac:dyDescent="0.25">
      <c r="A834">
        <v>29.0443431569729</v>
      </c>
    </row>
    <row r="835" spans="1:1" x14ac:dyDescent="0.25">
      <c r="A835">
        <v>4.7099142850202043</v>
      </c>
    </row>
    <row r="836" spans="1:1" x14ac:dyDescent="0.25">
      <c r="A836">
        <v>-4.6209215522976592</v>
      </c>
    </row>
    <row r="837" spans="1:1" x14ac:dyDescent="0.25">
      <c r="A837">
        <v>17.426980795979034</v>
      </c>
    </row>
    <row r="838" spans="1:1" x14ac:dyDescent="0.25">
      <c r="A838">
        <v>9.103433078242233</v>
      </c>
    </row>
    <row r="839" spans="1:1" x14ac:dyDescent="0.25">
      <c r="A839">
        <v>2.1899204713990912</v>
      </c>
    </row>
    <row r="840" spans="1:1" x14ac:dyDescent="0.25">
      <c r="A840">
        <v>1.497317518631462</v>
      </c>
    </row>
    <row r="841" spans="1:1" x14ac:dyDescent="0.25">
      <c r="A841">
        <v>13.752212928200606</v>
      </c>
    </row>
    <row r="842" spans="1:1" x14ac:dyDescent="0.25">
      <c r="A842">
        <v>16.679012353240978</v>
      </c>
    </row>
    <row r="843" spans="1:1" x14ac:dyDescent="0.25">
      <c r="A843">
        <v>13.385936674429104</v>
      </c>
    </row>
    <row r="844" spans="1:1" x14ac:dyDescent="0.25">
      <c r="A844">
        <v>2.447034623590298</v>
      </c>
    </row>
    <row r="845" spans="1:1" x14ac:dyDescent="0.25">
      <c r="A845">
        <v>19.144561540277209</v>
      </c>
    </row>
    <row r="846" spans="1:1" x14ac:dyDescent="0.25">
      <c r="A846">
        <v>-2.4525042843306437</v>
      </c>
    </row>
    <row r="847" spans="1:1" x14ac:dyDescent="0.25">
      <c r="A847">
        <v>14.258881057874532</v>
      </c>
    </row>
    <row r="848" spans="1:1" x14ac:dyDescent="0.25">
      <c r="A848">
        <v>15.563903636764735</v>
      </c>
    </row>
    <row r="849" spans="1:1" x14ac:dyDescent="0.25">
      <c r="A849">
        <v>8.0455202098237351</v>
      </c>
    </row>
    <row r="850" spans="1:1" x14ac:dyDescent="0.25">
      <c r="A850">
        <v>8.6365098670357838</v>
      </c>
    </row>
    <row r="851" spans="1:1" x14ac:dyDescent="0.25">
      <c r="A851">
        <v>-5.3589082906837575</v>
      </c>
    </row>
    <row r="852" spans="1:1" x14ac:dyDescent="0.25">
      <c r="A852">
        <v>1.2332457319716923</v>
      </c>
    </row>
    <row r="853" spans="1:1" x14ac:dyDescent="0.25">
      <c r="A853">
        <v>5.9770564095815644</v>
      </c>
    </row>
    <row r="854" spans="1:1" x14ac:dyDescent="0.25">
      <c r="A854">
        <v>17.89293766906485</v>
      </c>
    </row>
    <row r="855" spans="1:1" x14ac:dyDescent="0.25">
      <c r="A855">
        <v>12.808339326700661</v>
      </c>
    </row>
    <row r="856" spans="1:1" x14ac:dyDescent="0.25">
      <c r="A856">
        <v>12.039634404762182</v>
      </c>
    </row>
    <row r="857" spans="1:1" x14ac:dyDescent="0.25">
      <c r="A857">
        <v>1.4594598016701639</v>
      </c>
    </row>
    <row r="858" spans="1:1" x14ac:dyDescent="0.25">
      <c r="A858">
        <v>1.8551582090440206</v>
      </c>
    </row>
    <row r="859" spans="1:1" x14ac:dyDescent="0.25">
      <c r="A859">
        <v>1.5932548383716494E-2</v>
      </c>
    </row>
    <row r="860" spans="1:1" x14ac:dyDescent="0.25">
      <c r="A860">
        <v>12.862511104875011</v>
      </c>
    </row>
    <row r="861" spans="1:1" x14ac:dyDescent="0.25">
      <c r="A861">
        <v>-4.1290668175788596</v>
      </c>
    </row>
    <row r="862" spans="1:1" x14ac:dyDescent="0.25">
      <c r="A862">
        <v>8.407464995078044</v>
      </c>
    </row>
    <row r="863" spans="1:1" x14ac:dyDescent="0.25">
      <c r="A863">
        <v>-6.3043507705442607</v>
      </c>
    </row>
    <row r="864" spans="1:1" x14ac:dyDescent="0.25">
      <c r="A864">
        <v>-3.0215523818624206</v>
      </c>
    </row>
    <row r="865" spans="1:1" x14ac:dyDescent="0.25">
      <c r="A865">
        <v>-5.7538791022961959</v>
      </c>
    </row>
    <row r="866" spans="1:1" x14ac:dyDescent="0.25">
      <c r="A866">
        <v>3.5661905914894305</v>
      </c>
    </row>
    <row r="867" spans="1:1" x14ac:dyDescent="0.25">
      <c r="A867">
        <v>5.6959088598960079</v>
      </c>
    </row>
    <row r="868" spans="1:1" x14ac:dyDescent="0.25">
      <c r="A868">
        <v>25.729598766891286</v>
      </c>
    </row>
    <row r="869" spans="1:1" x14ac:dyDescent="0.25">
      <c r="A869">
        <v>14.038931132934522</v>
      </c>
    </row>
    <row r="870" spans="1:1" x14ac:dyDescent="0.25">
      <c r="A870">
        <v>1.1483671389287338</v>
      </c>
    </row>
    <row r="871" spans="1:1" x14ac:dyDescent="0.25">
      <c r="A871">
        <v>7.5075313563575037</v>
      </c>
    </row>
    <row r="872" spans="1:1" x14ac:dyDescent="0.25">
      <c r="A872">
        <v>-0.84747350937686861</v>
      </c>
    </row>
    <row r="873" spans="1:1" x14ac:dyDescent="0.25">
      <c r="A873">
        <v>28.099651010241359</v>
      </c>
    </row>
    <row r="874" spans="1:1" x14ac:dyDescent="0.25">
      <c r="A874">
        <v>24.411195247201249</v>
      </c>
    </row>
    <row r="875" spans="1:1" x14ac:dyDescent="0.25">
      <c r="A875">
        <v>1.9757572064991109</v>
      </c>
    </row>
    <row r="876" spans="1:1" x14ac:dyDescent="0.25">
      <c r="A876">
        <v>2.7602873362484388</v>
      </c>
    </row>
    <row r="877" spans="1:1" x14ac:dyDescent="0.25">
      <c r="A877">
        <v>9.9270032680651639</v>
      </c>
    </row>
    <row r="878" spans="1:1" x14ac:dyDescent="0.25">
      <c r="A878">
        <v>-3.4840531750814989</v>
      </c>
    </row>
    <row r="879" spans="1:1" x14ac:dyDescent="0.25">
      <c r="A879">
        <v>8.1204853106173687</v>
      </c>
    </row>
    <row r="880" spans="1:1" x14ac:dyDescent="0.25">
      <c r="A880">
        <v>2.9966650092392229</v>
      </c>
    </row>
    <row r="881" spans="1:1" x14ac:dyDescent="0.25">
      <c r="A881">
        <v>8.2283741196151823</v>
      </c>
    </row>
    <row r="882" spans="1:1" x14ac:dyDescent="0.25">
      <c r="A882">
        <v>1.6065592009981629</v>
      </c>
    </row>
    <row r="883" spans="1:1" x14ac:dyDescent="0.25">
      <c r="A883">
        <v>19.512202036101371</v>
      </c>
    </row>
    <row r="884" spans="1:1" x14ac:dyDescent="0.25">
      <c r="A884">
        <v>-3.6076989797875285</v>
      </c>
    </row>
    <row r="885" spans="1:1" x14ac:dyDescent="0.25">
      <c r="A885">
        <v>8.24214159566327</v>
      </c>
    </row>
    <row r="886" spans="1:1" x14ac:dyDescent="0.25">
      <c r="A886">
        <v>1.7448365017189644</v>
      </c>
    </row>
    <row r="887" spans="1:1" x14ac:dyDescent="0.25">
      <c r="A887">
        <v>17.518021215626504</v>
      </c>
    </row>
    <row r="888" spans="1:1" x14ac:dyDescent="0.25">
      <c r="A888">
        <v>5.4129309521231335</v>
      </c>
    </row>
    <row r="889" spans="1:1" x14ac:dyDescent="0.25">
      <c r="A889">
        <v>-2.4327000371995382</v>
      </c>
    </row>
    <row r="890" spans="1:1" x14ac:dyDescent="0.25">
      <c r="A890">
        <v>3.5129624140681699</v>
      </c>
    </row>
    <row r="891" spans="1:1" x14ac:dyDescent="0.25">
      <c r="A891">
        <v>10.717013103392674</v>
      </c>
    </row>
    <row r="892" spans="1:1" x14ac:dyDescent="0.25">
      <c r="A892">
        <v>8.1235548552358523</v>
      </c>
    </row>
    <row r="893" spans="1:1" x14ac:dyDescent="0.25">
      <c r="A893">
        <v>9.0157236829400063</v>
      </c>
    </row>
    <row r="894" spans="1:1" x14ac:dyDescent="0.25">
      <c r="A894">
        <v>21.538419807446189</v>
      </c>
    </row>
    <row r="895" spans="1:1" x14ac:dyDescent="0.25">
      <c r="A895">
        <v>19.076485861849505</v>
      </c>
    </row>
    <row r="896" spans="1:1" x14ac:dyDescent="0.25">
      <c r="A896">
        <v>15.978803751029773</v>
      </c>
    </row>
    <row r="897" spans="1:1" x14ac:dyDescent="0.25">
      <c r="A897">
        <v>-0.27144504000898451</v>
      </c>
    </row>
    <row r="898" spans="1:1" x14ac:dyDescent="0.25">
      <c r="A898">
        <v>3.2876123643363826</v>
      </c>
    </row>
    <row r="899" spans="1:1" x14ac:dyDescent="0.25">
      <c r="A899">
        <v>12.087826255272375</v>
      </c>
    </row>
    <row r="900" spans="1:1" x14ac:dyDescent="0.25">
      <c r="A900">
        <v>14.956497600185685</v>
      </c>
    </row>
    <row r="901" spans="1:1" x14ac:dyDescent="0.25">
      <c r="A901">
        <v>-4.7595512822153978</v>
      </c>
    </row>
    <row r="902" spans="1:1" x14ac:dyDescent="0.25">
      <c r="A902">
        <v>12.613457349478267</v>
      </c>
    </row>
    <row r="903" spans="1:1" x14ac:dyDescent="0.25">
      <c r="A903">
        <v>-9.0924977282993495</v>
      </c>
    </row>
    <row r="904" spans="1:1" x14ac:dyDescent="0.25">
      <c r="A904">
        <v>4.9792725096340291</v>
      </c>
    </row>
    <row r="905" spans="1:1" x14ac:dyDescent="0.25">
      <c r="A905">
        <v>5.1907982398988679</v>
      </c>
    </row>
    <row r="906" spans="1:1" x14ac:dyDescent="0.25">
      <c r="A906">
        <v>17.14558313525049</v>
      </c>
    </row>
    <row r="907" spans="1:1" x14ac:dyDescent="0.25">
      <c r="A907">
        <v>-4.076543498551473</v>
      </c>
    </row>
    <row r="908" spans="1:1" x14ac:dyDescent="0.25">
      <c r="A908">
        <v>-3.2203224489348941</v>
      </c>
    </row>
    <row r="909" spans="1:1" x14ac:dyDescent="0.25">
      <c r="A909">
        <v>22.119541447144002</v>
      </c>
    </row>
    <row r="910" spans="1:1" x14ac:dyDescent="0.25">
      <c r="A910">
        <v>21.32909960183315</v>
      </c>
    </row>
    <row r="911" spans="1:1" x14ac:dyDescent="0.25">
      <c r="A911">
        <v>13.799211066914722</v>
      </c>
    </row>
    <row r="912" spans="1:1" x14ac:dyDescent="0.25">
      <c r="A912">
        <v>22.496345102088526</v>
      </c>
    </row>
    <row r="913" spans="1:1" x14ac:dyDescent="0.25">
      <c r="A913">
        <v>-13.996311261318624</v>
      </c>
    </row>
    <row r="914" spans="1:1" x14ac:dyDescent="0.25">
      <c r="A914">
        <v>1.2168748273397796</v>
      </c>
    </row>
    <row r="915" spans="1:1" x14ac:dyDescent="0.25">
      <c r="A915">
        <v>12.46589183411561</v>
      </c>
    </row>
    <row r="916" spans="1:1" x14ac:dyDescent="0.25">
      <c r="A916">
        <v>11.992374786321307</v>
      </c>
    </row>
    <row r="917" spans="1:1" x14ac:dyDescent="0.25">
      <c r="A917">
        <v>8.7929656931082718</v>
      </c>
    </row>
    <row r="918" spans="1:1" x14ac:dyDescent="0.25">
      <c r="A918">
        <v>-1.4664073913008906</v>
      </c>
    </row>
    <row r="919" spans="1:1" x14ac:dyDescent="0.25">
      <c r="A919">
        <v>13.559218152484391</v>
      </c>
    </row>
    <row r="920" spans="1:1" x14ac:dyDescent="0.25">
      <c r="A920">
        <v>5.6534695633745287</v>
      </c>
    </row>
    <row r="921" spans="1:1" x14ac:dyDescent="0.25">
      <c r="A921">
        <v>16.418828656431288</v>
      </c>
    </row>
    <row r="922" spans="1:1" x14ac:dyDescent="0.25">
      <c r="A922">
        <v>5.7626316649548244</v>
      </c>
    </row>
    <row r="923" spans="1:1" x14ac:dyDescent="0.25">
      <c r="A923">
        <v>-30.417056202888489</v>
      </c>
    </row>
    <row r="924" spans="1:1" x14ac:dyDescent="0.25">
      <c r="A924">
        <v>-5.5174104798352346</v>
      </c>
    </row>
    <row r="925" spans="1:1" x14ac:dyDescent="0.25">
      <c r="A925">
        <v>5.3147168930154294</v>
      </c>
    </row>
    <row r="926" spans="1:1" x14ac:dyDescent="0.25">
      <c r="A926">
        <v>19.185920811840333</v>
      </c>
    </row>
    <row r="927" spans="1:1" x14ac:dyDescent="0.25">
      <c r="A927">
        <v>7.0173250807856675</v>
      </c>
    </row>
    <row r="928" spans="1:1" x14ac:dyDescent="0.25">
      <c r="A928">
        <v>9.6440594663436059</v>
      </c>
    </row>
    <row r="929" spans="1:1" x14ac:dyDescent="0.25">
      <c r="A929">
        <v>3.440089151088614</v>
      </c>
    </row>
    <row r="930" spans="1:1" x14ac:dyDescent="0.25">
      <c r="A930">
        <v>-1.302448233938776</v>
      </c>
    </row>
    <row r="931" spans="1:1" x14ac:dyDescent="0.25">
      <c r="A931">
        <v>13.207266440265812</v>
      </c>
    </row>
    <row r="932" spans="1:1" x14ac:dyDescent="0.25">
      <c r="A932">
        <v>-19.765781851485372</v>
      </c>
    </row>
    <row r="933" spans="1:1" x14ac:dyDescent="0.25">
      <c r="A933">
        <v>11.969194040109869</v>
      </c>
    </row>
    <row r="934" spans="1:1" x14ac:dyDescent="0.25">
      <c r="A934">
        <v>26.999799067387357</v>
      </c>
    </row>
    <row r="935" spans="1:1" x14ac:dyDescent="0.25">
      <c r="A935">
        <v>17.099198905460071</v>
      </c>
    </row>
    <row r="936" spans="1:1" x14ac:dyDescent="0.25">
      <c r="A936">
        <v>9.091893864213489</v>
      </c>
    </row>
    <row r="937" spans="1:1" x14ac:dyDescent="0.25">
      <c r="A937">
        <v>-5.8291170515003614</v>
      </c>
    </row>
    <row r="938" spans="1:1" x14ac:dyDescent="0.25">
      <c r="A938">
        <v>2.0059979053330608</v>
      </c>
    </row>
    <row r="939" spans="1:1" x14ac:dyDescent="0.25">
      <c r="A939">
        <v>21.121825759299099</v>
      </c>
    </row>
    <row r="940" spans="1:1" x14ac:dyDescent="0.25">
      <c r="A940">
        <v>32.077235138975084</v>
      </c>
    </row>
    <row r="941" spans="1:1" x14ac:dyDescent="0.25">
      <c r="A941">
        <v>8.5185029294807464</v>
      </c>
    </row>
    <row r="942" spans="1:1" x14ac:dyDescent="0.25">
      <c r="A942">
        <v>20.251302905497141</v>
      </c>
    </row>
    <row r="943" spans="1:1" x14ac:dyDescent="0.25">
      <c r="A943">
        <v>6.779503584955819</v>
      </c>
    </row>
    <row r="944" spans="1:1" x14ac:dyDescent="0.25">
      <c r="A944">
        <v>12.009780241176486</v>
      </c>
    </row>
    <row r="945" spans="1:1" x14ac:dyDescent="0.25">
      <c r="A945">
        <v>-0.91100171429570764</v>
      </c>
    </row>
    <row r="946" spans="1:1" x14ac:dyDescent="0.25">
      <c r="A946">
        <v>0.52440829877741635</v>
      </c>
    </row>
    <row r="947" spans="1:1" x14ac:dyDescent="0.25">
      <c r="A947">
        <v>8.3508148438413627</v>
      </c>
    </row>
    <row r="948" spans="1:1" x14ac:dyDescent="0.25">
      <c r="A948">
        <v>-21.504008125513792</v>
      </c>
    </row>
    <row r="949" spans="1:1" x14ac:dyDescent="0.25">
      <c r="A949">
        <v>1.8449946057517081</v>
      </c>
    </row>
    <row r="950" spans="1:1" x14ac:dyDescent="0.25">
      <c r="A950">
        <v>6.9127331900817808</v>
      </c>
    </row>
    <row r="951" spans="1:1" x14ac:dyDescent="0.25">
      <c r="A951">
        <v>19.756037565646693</v>
      </c>
    </row>
    <row r="952" spans="1:1" x14ac:dyDescent="0.25">
      <c r="A952">
        <v>2.2206841296865605</v>
      </c>
    </row>
    <row r="953" spans="1:1" x14ac:dyDescent="0.25">
      <c r="A953">
        <v>12.419462129590102</v>
      </c>
    </row>
    <row r="954" spans="1:1" x14ac:dyDescent="0.25">
      <c r="A954">
        <v>5.355143932509236</v>
      </c>
    </row>
    <row r="955" spans="1:1" x14ac:dyDescent="0.25">
      <c r="A955">
        <v>-11.700746634043753</v>
      </c>
    </row>
    <row r="956" spans="1:1" x14ac:dyDescent="0.25">
      <c r="A956">
        <v>15.971448212629184</v>
      </c>
    </row>
    <row r="957" spans="1:1" x14ac:dyDescent="0.25">
      <c r="A957">
        <v>19.321390047669411</v>
      </c>
    </row>
    <row r="958" spans="1:1" x14ac:dyDescent="0.25">
      <c r="A958">
        <v>-9.235970517504029</v>
      </c>
    </row>
    <row r="959" spans="1:1" x14ac:dyDescent="0.25">
      <c r="A959">
        <v>-2.8711446955567226</v>
      </c>
    </row>
    <row r="960" spans="1:1" x14ac:dyDescent="0.25">
      <c r="A960">
        <v>20.043301467201672</v>
      </c>
    </row>
    <row r="961" spans="1:1" x14ac:dyDescent="0.25">
      <c r="A961">
        <v>6.5711383487796411</v>
      </c>
    </row>
    <row r="962" spans="1:1" x14ac:dyDescent="0.25">
      <c r="A962">
        <v>-2.1086243375902995</v>
      </c>
    </row>
    <row r="963" spans="1:1" x14ac:dyDescent="0.25">
      <c r="A963">
        <v>-14.048152459319681</v>
      </c>
    </row>
    <row r="964" spans="1:1" x14ac:dyDescent="0.25">
      <c r="A964">
        <v>7.9078227119753137</v>
      </c>
    </row>
    <row r="965" spans="1:1" x14ac:dyDescent="0.25">
      <c r="A965">
        <v>1.206279214064125</v>
      </c>
    </row>
    <row r="966" spans="1:1" x14ac:dyDescent="0.25">
      <c r="A966">
        <v>16.152483133017085</v>
      </c>
    </row>
    <row r="967" spans="1:1" x14ac:dyDescent="0.25">
      <c r="A967">
        <v>-7.62771103635896</v>
      </c>
    </row>
    <row r="968" spans="1:1" x14ac:dyDescent="0.25">
      <c r="A968">
        <v>-1.853079063759651</v>
      </c>
    </row>
    <row r="969" spans="1:1" x14ac:dyDescent="0.25">
      <c r="A969">
        <v>18.239546099910513</v>
      </c>
    </row>
    <row r="970" spans="1:1" x14ac:dyDescent="0.25">
      <c r="A970">
        <v>-0.35900664242217317</v>
      </c>
    </row>
    <row r="971" spans="1:1" x14ac:dyDescent="0.25">
      <c r="A971">
        <v>0.7620592643506825</v>
      </c>
    </row>
    <row r="972" spans="1:1" x14ac:dyDescent="0.25">
      <c r="A972">
        <v>4.8034444464137778</v>
      </c>
    </row>
    <row r="973" spans="1:1" x14ac:dyDescent="0.25">
      <c r="A973">
        <v>-2.3199909062823281</v>
      </c>
    </row>
    <row r="974" spans="1:1" x14ac:dyDescent="0.25">
      <c r="A974">
        <v>31.900429368950427</v>
      </c>
    </row>
    <row r="975" spans="1:1" x14ac:dyDescent="0.25">
      <c r="A975">
        <v>-1.0483808889985085</v>
      </c>
    </row>
    <row r="976" spans="1:1" x14ac:dyDescent="0.25">
      <c r="A976">
        <v>2.8836375551763922</v>
      </c>
    </row>
    <row r="977" spans="1:1" x14ac:dyDescent="0.25">
      <c r="A977">
        <v>18.497524272068404</v>
      </c>
    </row>
    <row r="978" spans="1:1" x14ac:dyDescent="0.25">
      <c r="A978">
        <v>26.490209185983986</v>
      </c>
    </row>
    <row r="979" spans="1:1" x14ac:dyDescent="0.25">
      <c r="A979">
        <v>3.812163433583919</v>
      </c>
    </row>
    <row r="980" spans="1:1" x14ac:dyDescent="0.25">
      <c r="A980">
        <v>10.509625574020902</v>
      </c>
    </row>
    <row r="981" spans="1:1" x14ac:dyDescent="0.25">
      <c r="A981">
        <v>12.176149559498299</v>
      </c>
    </row>
    <row r="982" spans="1:1" x14ac:dyDescent="0.25">
      <c r="A982">
        <v>9.2844907359976787</v>
      </c>
    </row>
    <row r="983" spans="1:1" x14ac:dyDescent="0.25">
      <c r="A983">
        <v>2.5946001389529556</v>
      </c>
    </row>
    <row r="984" spans="1:1" x14ac:dyDescent="0.25">
      <c r="A984">
        <v>5.4516754264186602</v>
      </c>
    </row>
    <row r="985" spans="1:1" x14ac:dyDescent="0.25">
      <c r="A985">
        <v>19.546399036888033</v>
      </c>
    </row>
    <row r="986" spans="1:1" x14ac:dyDescent="0.25">
      <c r="A986">
        <v>-1.0380353867658414</v>
      </c>
    </row>
    <row r="987" spans="1:1" x14ac:dyDescent="0.25">
      <c r="A987">
        <v>0.25769897748250514</v>
      </c>
    </row>
    <row r="988" spans="1:1" x14ac:dyDescent="0.25">
      <c r="A988">
        <v>0.75112259056186303</v>
      </c>
    </row>
    <row r="989" spans="1:1" x14ac:dyDescent="0.25">
      <c r="A989">
        <v>3.4723193695826922</v>
      </c>
    </row>
    <row r="990" spans="1:1" x14ac:dyDescent="0.25">
      <c r="A990">
        <v>11.135437509627081</v>
      </c>
    </row>
    <row r="991" spans="1:1" x14ac:dyDescent="0.25">
      <c r="A991">
        <v>10.090143880195683</v>
      </c>
    </row>
    <row r="992" spans="1:1" x14ac:dyDescent="0.25">
      <c r="A992">
        <v>24.203057384700514</v>
      </c>
    </row>
    <row r="993" spans="1:1" x14ac:dyDescent="0.25">
      <c r="A993">
        <v>0.12800503300968558</v>
      </c>
    </row>
    <row r="994" spans="1:1" x14ac:dyDescent="0.25">
      <c r="A994">
        <v>9.1280690159765072</v>
      </c>
    </row>
    <row r="995" spans="1:1" x14ac:dyDescent="0.25">
      <c r="A995">
        <v>33.489862309768796</v>
      </c>
    </row>
    <row r="996" spans="1:1" x14ac:dyDescent="0.25">
      <c r="A996">
        <v>3.1736185721529182</v>
      </c>
    </row>
    <row r="997" spans="1:1" x14ac:dyDescent="0.25">
      <c r="A997">
        <v>20.891882761323359</v>
      </c>
    </row>
    <row r="998" spans="1:1" x14ac:dyDescent="0.25">
      <c r="A998">
        <v>3.8221906126709655</v>
      </c>
    </row>
    <row r="999" spans="1:1" x14ac:dyDescent="0.25">
      <c r="A999">
        <v>6.1244059199525509</v>
      </c>
    </row>
    <row r="1000" spans="1:1" x14ac:dyDescent="0.25">
      <c r="A1000">
        <v>8.1595026333234273</v>
      </c>
    </row>
    <row r="1001" spans="1:1" x14ac:dyDescent="0.25">
      <c r="A1001">
        <v>-3.5478997031459585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ADC1-BAE6-4B85-ADA6-0800BE8E08FF}">
  <dimension ref="A1:J48"/>
  <sheetViews>
    <sheetView workbookViewId="0">
      <selection activeCell="H12" sqref="H12"/>
    </sheetView>
  </sheetViews>
  <sheetFormatPr defaultRowHeight="15" x14ac:dyDescent="0.25"/>
  <cols>
    <col min="3" max="3" width="11.5703125" customWidth="1"/>
    <col min="5" max="5" width="41.7109375" customWidth="1"/>
    <col min="8" max="8" width="35" customWidth="1"/>
    <col min="9" max="9" width="23.85546875" customWidth="1"/>
    <col min="10" max="10" width="16.7109375" customWidth="1"/>
  </cols>
  <sheetData>
    <row r="1" spans="1:8" x14ac:dyDescent="0.25">
      <c r="A1" s="7" t="s">
        <v>27</v>
      </c>
      <c r="B1" s="8" t="s">
        <v>28</v>
      </c>
      <c r="C1" s="15" t="s">
        <v>29</v>
      </c>
      <c r="D1" s="16"/>
      <c r="E1" s="15" t="s">
        <v>30</v>
      </c>
      <c r="F1" s="16"/>
      <c r="H1" t="s">
        <v>31</v>
      </c>
    </row>
    <row r="2" spans="1:8" ht="15.75" thickBot="1" x14ac:dyDescent="0.3">
      <c r="A2" s="9">
        <v>69</v>
      </c>
      <c r="B2" s="10">
        <v>153</v>
      </c>
      <c r="C2" s="9" t="s">
        <v>32</v>
      </c>
      <c r="D2" s="11">
        <f>AVERAGE(A2:A21)</f>
        <v>71.45</v>
      </c>
      <c r="E2" s="12" t="s">
        <v>33</v>
      </c>
      <c r="F2" s="13">
        <f>_xlfn.VAR.S(B2:B21)</f>
        <v>1441.2736842105239</v>
      </c>
      <c r="H2">
        <f>_xlfn.NORM.DIST(A2, $D$2, _xlfn.STDEV.S($A$2:$A$21), TRUE)</f>
        <v>0.26052911964344094</v>
      </c>
    </row>
    <row r="3" spans="1:8" x14ac:dyDescent="0.25">
      <c r="A3" s="9">
        <v>74</v>
      </c>
      <c r="B3" s="10">
        <v>175</v>
      </c>
      <c r="C3" s="9" t="s">
        <v>34</v>
      </c>
      <c r="D3" s="11">
        <f>MEDIAN(A2:A21)</f>
        <v>71.5</v>
      </c>
      <c r="E3" t="s">
        <v>35</v>
      </c>
      <c r="F3">
        <f>COUNTIF(A2:A21, "&gt;" &amp; 60) / 20</f>
        <v>1</v>
      </c>
      <c r="H3">
        <f t="shared" ref="H3:H21" si="0">_xlfn.NORM.DIST(A3, $D$2, _xlfn.STDEV.S($A$2:$A$21), TRUE)</f>
        <v>0.7479036683721495</v>
      </c>
    </row>
    <row r="4" spans="1:8" ht="15.75" thickBot="1" x14ac:dyDescent="0.3">
      <c r="A4" s="9">
        <v>68</v>
      </c>
      <c r="B4" s="10">
        <v>155</v>
      </c>
      <c r="C4" s="12" t="s">
        <v>36</v>
      </c>
      <c r="D4" s="13">
        <f>_xlfn.MODE.SNGL(A2:A21)</f>
        <v>74</v>
      </c>
      <c r="E4" t="s">
        <v>44</v>
      </c>
      <c r="F4">
        <f>CORREL(A2:A21, B2:B21)</f>
        <v>0.88917013517480481</v>
      </c>
      <c r="H4">
        <f t="shared" si="0"/>
        <v>0.18309329220754714</v>
      </c>
    </row>
    <row r="5" spans="1:8" x14ac:dyDescent="0.25">
      <c r="A5" s="9">
        <v>70</v>
      </c>
      <c r="B5" s="10">
        <v>135</v>
      </c>
      <c r="E5" t="s">
        <v>37</v>
      </c>
      <c r="F5">
        <f>LINEST(B2:B21,A2:A21,TRUE,TRUE)</f>
        <v>8.841668171150026</v>
      </c>
      <c r="H5">
        <f t="shared" si="0"/>
        <v>0.35205046066158219</v>
      </c>
    </row>
    <row r="6" spans="1:8" x14ac:dyDescent="0.25">
      <c r="A6" s="9">
        <v>72</v>
      </c>
      <c r="B6" s="10">
        <v>172</v>
      </c>
      <c r="H6">
        <f t="shared" si="0"/>
        <v>0.5572728515956753</v>
      </c>
    </row>
    <row r="7" spans="1:8" x14ac:dyDescent="0.25">
      <c r="A7" s="9">
        <v>67</v>
      </c>
      <c r="B7" s="10">
        <v>150</v>
      </c>
      <c r="H7">
        <f t="shared" si="0"/>
        <v>0.12189538425686426</v>
      </c>
    </row>
    <row r="8" spans="1:8" x14ac:dyDescent="0.25">
      <c r="A8" s="9">
        <v>66</v>
      </c>
      <c r="B8" s="10">
        <v>115</v>
      </c>
      <c r="H8">
        <f t="shared" si="0"/>
        <v>7.6719568903845278E-2</v>
      </c>
    </row>
    <row r="9" spans="1:8" x14ac:dyDescent="0.25">
      <c r="A9" s="9">
        <v>70</v>
      </c>
      <c r="B9" s="10">
        <v>137</v>
      </c>
      <c r="H9">
        <f t="shared" si="0"/>
        <v>0.35205046066158219</v>
      </c>
    </row>
    <row r="10" spans="1:8" x14ac:dyDescent="0.25">
      <c r="A10" s="9">
        <v>76</v>
      </c>
      <c r="B10" s="10">
        <v>200</v>
      </c>
      <c r="H10">
        <f t="shared" si="0"/>
        <v>0.88332162244271784</v>
      </c>
    </row>
    <row r="11" spans="1:8" x14ac:dyDescent="0.25">
      <c r="A11" s="9">
        <v>68</v>
      </c>
      <c r="B11" s="10">
        <v>130</v>
      </c>
      <c r="H11">
        <f t="shared" si="0"/>
        <v>0.18309329220754714</v>
      </c>
    </row>
    <row r="12" spans="1:8" x14ac:dyDescent="0.25">
      <c r="A12" s="9">
        <v>72</v>
      </c>
      <c r="B12" s="10">
        <v>140</v>
      </c>
      <c r="H12">
        <f t="shared" si="0"/>
        <v>0.5572728515956753</v>
      </c>
    </row>
    <row r="13" spans="1:8" x14ac:dyDescent="0.25">
      <c r="A13" s="9">
        <v>79</v>
      </c>
      <c r="B13" s="10">
        <v>265</v>
      </c>
      <c r="H13">
        <f t="shared" si="0"/>
        <v>0.97600912012813501</v>
      </c>
    </row>
    <row r="14" spans="1:8" x14ac:dyDescent="0.25">
      <c r="A14" s="9">
        <v>74</v>
      </c>
      <c r="B14" s="10">
        <v>185</v>
      </c>
      <c r="H14">
        <f t="shared" si="0"/>
        <v>0.7479036683721495</v>
      </c>
    </row>
    <row r="15" spans="1:8" x14ac:dyDescent="0.25">
      <c r="A15" s="9">
        <v>67</v>
      </c>
      <c r="B15" s="10">
        <v>112</v>
      </c>
      <c r="H15">
        <f t="shared" si="0"/>
        <v>0.12189538425686426</v>
      </c>
    </row>
    <row r="16" spans="1:8" x14ac:dyDescent="0.25">
      <c r="A16" s="9">
        <v>66</v>
      </c>
      <c r="B16" s="10">
        <v>140</v>
      </c>
      <c r="H16">
        <f t="shared" si="0"/>
        <v>7.6719568903845278E-2</v>
      </c>
    </row>
    <row r="17" spans="1:10" x14ac:dyDescent="0.25">
      <c r="A17" s="9">
        <v>71</v>
      </c>
      <c r="B17" s="10">
        <v>150</v>
      </c>
      <c r="H17">
        <f t="shared" si="0"/>
        <v>0.45308690767740317</v>
      </c>
    </row>
    <row r="18" spans="1:10" x14ac:dyDescent="0.25">
      <c r="A18" s="9">
        <v>74</v>
      </c>
      <c r="B18" s="10">
        <v>165</v>
      </c>
      <c r="H18">
        <f t="shared" si="0"/>
        <v>0.7479036683721495</v>
      </c>
    </row>
    <row r="19" spans="1:10" x14ac:dyDescent="0.25">
      <c r="A19" s="9">
        <v>75</v>
      </c>
      <c r="B19" s="10">
        <v>185</v>
      </c>
      <c r="H19">
        <f t="shared" si="0"/>
        <v>0.82377095162645231</v>
      </c>
    </row>
    <row r="20" spans="1:10" x14ac:dyDescent="0.25">
      <c r="A20" s="9">
        <v>75</v>
      </c>
      <c r="B20" s="10">
        <v>210</v>
      </c>
      <c r="H20">
        <f t="shared" si="0"/>
        <v>0.82377095162645231</v>
      </c>
    </row>
    <row r="21" spans="1:10" ht="15.75" thickBot="1" x14ac:dyDescent="0.3">
      <c r="A21" s="12">
        <v>76</v>
      </c>
      <c r="B21" s="14">
        <v>220</v>
      </c>
      <c r="H21">
        <f t="shared" si="0"/>
        <v>0.88332162244271784</v>
      </c>
    </row>
    <row r="28" spans="1:10" x14ac:dyDescent="0.25">
      <c r="H28" t="s">
        <v>38</v>
      </c>
      <c r="I28" t="s">
        <v>39</v>
      </c>
      <c r="J28" t="s">
        <v>40</v>
      </c>
    </row>
    <row r="29" spans="1:10" x14ac:dyDescent="0.25">
      <c r="G29" t="s">
        <v>41</v>
      </c>
      <c r="H29">
        <v>2</v>
      </c>
      <c r="I29">
        <f xml:space="preserve"> $H$29 * A2 + $H$30</f>
        <v>188</v>
      </c>
      <c r="J29">
        <f>IF(I29 &gt; $H$31, 1, 0)</f>
        <v>0</v>
      </c>
    </row>
    <row r="30" spans="1:10" x14ac:dyDescent="0.25">
      <c r="G30" t="s">
        <v>42</v>
      </c>
      <c r="H30">
        <v>50</v>
      </c>
      <c r="I30">
        <f t="shared" ref="I30:I39" si="1" xml:space="preserve"> $H$29 * A3 + $H$30</f>
        <v>198</v>
      </c>
      <c r="J30">
        <f t="shared" ref="J30:J48" si="2">IF(I30 &gt; $H$31, 1, 0)</f>
        <v>1</v>
      </c>
    </row>
    <row r="31" spans="1:10" x14ac:dyDescent="0.25">
      <c r="G31" t="s">
        <v>43</v>
      </c>
      <c r="H31">
        <v>190</v>
      </c>
      <c r="I31">
        <f t="shared" si="1"/>
        <v>186</v>
      </c>
      <c r="J31">
        <f t="shared" si="2"/>
        <v>0</v>
      </c>
    </row>
    <row r="32" spans="1:10" x14ac:dyDescent="0.25">
      <c r="I32">
        <f t="shared" si="1"/>
        <v>190</v>
      </c>
      <c r="J32">
        <f t="shared" si="2"/>
        <v>0</v>
      </c>
    </row>
    <row r="33" spans="9:10" x14ac:dyDescent="0.25">
      <c r="I33">
        <f t="shared" si="1"/>
        <v>194</v>
      </c>
      <c r="J33">
        <f t="shared" si="2"/>
        <v>1</v>
      </c>
    </row>
    <row r="34" spans="9:10" x14ac:dyDescent="0.25">
      <c r="I34">
        <f t="shared" si="1"/>
        <v>184</v>
      </c>
      <c r="J34">
        <f t="shared" si="2"/>
        <v>0</v>
      </c>
    </row>
    <row r="35" spans="9:10" x14ac:dyDescent="0.25">
      <c r="I35">
        <f t="shared" si="1"/>
        <v>182</v>
      </c>
      <c r="J35">
        <f t="shared" si="2"/>
        <v>0</v>
      </c>
    </row>
    <row r="36" spans="9:10" x14ac:dyDescent="0.25">
      <c r="I36">
        <f t="shared" si="1"/>
        <v>190</v>
      </c>
      <c r="J36">
        <f t="shared" si="2"/>
        <v>0</v>
      </c>
    </row>
    <row r="37" spans="9:10" x14ac:dyDescent="0.25">
      <c r="I37">
        <f t="shared" si="1"/>
        <v>202</v>
      </c>
      <c r="J37">
        <f t="shared" si="2"/>
        <v>1</v>
      </c>
    </row>
    <row r="38" spans="9:10" x14ac:dyDescent="0.25">
      <c r="I38">
        <f t="shared" si="1"/>
        <v>186</v>
      </c>
      <c r="J38">
        <f t="shared" si="2"/>
        <v>0</v>
      </c>
    </row>
    <row r="39" spans="9:10" x14ac:dyDescent="0.25">
      <c r="I39">
        <f t="shared" si="1"/>
        <v>194</v>
      </c>
      <c r="J39">
        <f t="shared" si="2"/>
        <v>1</v>
      </c>
    </row>
    <row r="40" spans="9:10" x14ac:dyDescent="0.25">
      <c r="I40">
        <f xml:space="preserve"> $H$29 * A13 + $H$30</f>
        <v>208</v>
      </c>
      <c r="J40">
        <f t="shared" si="2"/>
        <v>1</v>
      </c>
    </row>
    <row r="41" spans="9:10" x14ac:dyDescent="0.25">
      <c r="I41">
        <f t="shared" ref="I41:I48" si="3" xml:space="preserve"> $H$29 * A14 + $H$30</f>
        <v>198</v>
      </c>
      <c r="J41">
        <f t="shared" si="2"/>
        <v>1</v>
      </c>
    </row>
    <row r="42" spans="9:10" x14ac:dyDescent="0.25">
      <c r="I42">
        <f t="shared" si="3"/>
        <v>184</v>
      </c>
      <c r="J42">
        <f t="shared" si="2"/>
        <v>0</v>
      </c>
    </row>
    <row r="43" spans="9:10" x14ac:dyDescent="0.25">
      <c r="I43">
        <f t="shared" si="3"/>
        <v>182</v>
      </c>
      <c r="J43">
        <f t="shared" si="2"/>
        <v>0</v>
      </c>
    </row>
    <row r="44" spans="9:10" x14ac:dyDescent="0.25">
      <c r="I44">
        <f t="shared" si="3"/>
        <v>192</v>
      </c>
      <c r="J44">
        <f t="shared" si="2"/>
        <v>1</v>
      </c>
    </row>
    <row r="45" spans="9:10" x14ac:dyDescent="0.25">
      <c r="I45">
        <f t="shared" si="3"/>
        <v>198</v>
      </c>
      <c r="J45">
        <f t="shared" si="2"/>
        <v>1</v>
      </c>
    </row>
    <row r="46" spans="9:10" x14ac:dyDescent="0.25">
      <c r="I46">
        <f t="shared" si="3"/>
        <v>200</v>
      </c>
      <c r="J46">
        <f t="shared" si="2"/>
        <v>1</v>
      </c>
    </row>
    <row r="47" spans="9:10" x14ac:dyDescent="0.25">
      <c r="I47">
        <f t="shared" si="3"/>
        <v>200</v>
      </c>
      <c r="J47">
        <f t="shared" si="2"/>
        <v>1</v>
      </c>
    </row>
    <row r="48" spans="9:10" x14ac:dyDescent="0.25">
      <c r="I48">
        <f t="shared" si="3"/>
        <v>202</v>
      </c>
      <c r="J48">
        <f t="shared" si="2"/>
        <v>1</v>
      </c>
    </row>
  </sheetData>
  <mergeCells count="2">
    <mergeCell ref="C1:D1"/>
    <mergeCell ref="E1:F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CAD7F-ADB8-4E76-9D64-BE5B309692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Родевич</dc:creator>
  <cp:lastModifiedBy>Alex ey</cp:lastModifiedBy>
  <dcterms:created xsi:type="dcterms:W3CDTF">2015-06-05T18:17:20Z</dcterms:created>
  <dcterms:modified xsi:type="dcterms:W3CDTF">2025-10-02T14:07:03Z</dcterms:modified>
</cp:coreProperties>
</file>