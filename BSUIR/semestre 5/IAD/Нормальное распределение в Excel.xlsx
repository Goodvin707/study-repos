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odvin\Downloads\"/>
    </mc:Choice>
  </mc:AlternateContent>
  <xr:revisionPtr revIDLastSave="0" documentId="13_ncr:1_{753EC31E-9EE9-4EC7-8A45-467B80CE120F}" xr6:coauthVersionLast="45" xr6:coauthVersionMax="45" xr10:uidLastSave="{00000000-0000-0000-0000-000000000000}"/>
  <bookViews>
    <workbookView xWindow="9495" yWindow="1320" windowWidth="14880" windowHeight="18450" xr2:uid="{00000000-000D-0000-FFFF-FFFF00000000}"/>
  </bookViews>
  <sheets>
    <sheet name="NormDistr" sheetId="8" r:id="rId1"/>
    <sheet name="Data" sheetId="9" r:id="rId2"/>
  </sheets>
  <definedNames>
    <definedName name="_xlnm._FilterDatabase" localSheetId="1" hidden="1">Data!$A$1:$A$175</definedName>
    <definedName name="Datas">OFFSET(Data!$A$2,0,0,COUNTA(Data!$A$2:$A$1000))</definedName>
    <definedName name="X_categories">OFFSET(NormDistr!$C$14,0,0,NormDistr!$B$10)</definedName>
    <definedName name="X_categories_f">OFFSET(NormDistr!$B$15,0,0,NormDistr!$B$10-1)</definedName>
    <definedName name="Y_categories">OFFSET(NormDistr!$B$14,0,0,NormDistr!$B$10)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2" i="8" l="1"/>
  <c r="B7" i="8" l="1"/>
  <c r="B14" i="8" s="1"/>
  <c r="B8" i="8"/>
  <c r="B10" i="8" l="1"/>
  <c r="N14" i="8"/>
  <c r="O14" i="8" l="1"/>
  <c r="N15" i="8"/>
  <c r="N16" i="8" s="1"/>
  <c r="A15" i="8"/>
  <c r="A16" i="8" s="1"/>
  <c r="A17" i="8" s="1"/>
  <c r="A18" i="8" s="1"/>
  <c r="A19" i="8" s="1"/>
  <c r="O15" i="8" l="1"/>
  <c r="N17" i="8"/>
  <c r="O16" i="8"/>
  <c r="B15" i="8"/>
  <c r="N18" i="8" l="1"/>
  <c r="O17" i="8"/>
  <c r="B16" i="8"/>
  <c r="A20" i="8"/>
  <c r="N19" i="8" l="1"/>
  <c r="O18" i="8"/>
  <c r="B17" i="8"/>
  <c r="A21" i="8"/>
  <c r="N20" i="8" l="1"/>
  <c r="O19" i="8"/>
  <c r="B18" i="8"/>
  <c r="A22" i="8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N21" i="8" l="1"/>
  <c r="O20" i="8"/>
  <c r="B19" i="8"/>
  <c r="N22" i="8" l="1"/>
  <c r="O21" i="8"/>
  <c r="B20" i="8"/>
  <c r="N23" i="8" l="1"/>
  <c r="O22" i="8"/>
  <c r="B21" i="8"/>
  <c r="N24" i="8" l="1"/>
  <c r="O23" i="8"/>
  <c r="B22" i="8"/>
  <c r="N25" i="8" l="1"/>
  <c r="O24" i="8"/>
  <c r="B23" i="8"/>
  <c r="N26" i="8" l="1"/>
  <c r="O25" i="8"/>
  <c r="B24" i="8"/>
  <c r="B25" i="8" s="1"/>
  <c r="B26" i="8" s="1"/>
  <c r="B27" i="8" s="1"/>
  <c r="N27" i="8" l="1"/>
  <c r="O26" i="8"/>
  <c r="C14" i="8" a="1"/>
  <c r="C15" i="8" s="1"/>
  <c r="B28" i="8"/>
  <c r="N28" i="8" l="1"/>
  <c r="O27" i="8"/>
  <c r="C31" i="8"/>
  <c r="C33" i="8"/>
  <c r="C26" i="8"/>
  <c r="C16" i="8"/>
  <c r="C23" i="8"/>
  <c r="C18" i="8"/>
  <c r="C17" i="8"/>
  <c r="C28" i="8"/>
  <c r="C29" i="8"/>
  <c r="C19" i="8"/>
  <c r="C27" i="8"/>
  <c r="C14" i="8"/>
  <c r="C22" i="8"/>
  <c r="C30" i="8"/>
  <c r="C25" i="8"/>
  <c r="C20" i="8"/>
  <c r="C21" i="8"/>
  <c r="C32" i="8"/>
  <c r="C24" i="8"/>
  <c r="B29" i="8"/>
  <c r="N29" i="8" l="1"/>
  <c r="O28" i="8"/>
  <c r="B30" i="8"/>
  <c r="N30" i="8" l="1"/>
  <c r="O29" i="8"/>
  <c r="B31" i="8"/>
  <c r="N31" i="8" l="1"/>
  <c r="O30" i="8"/>
  <c r="B32" i="8"/>
  <c r="N32" i="8" l="1"/>
  <c r="O31" i="8"/>
  <c r="B33" i="8"/>
  <c r="N33" i="8" l="1"/>
  <c r="O32" i="8"/>
  <c r="N34" i="8" l="1"/>
  <c r="O33" i="8"/>
  <c r="N35" i="8" l="1"/>
  <c r="O34" i="8"/>
  <c r="N36" i="8" l="1"/>
  <c r="O35" i="8"/>
  <c r="N37" i="8" l="1"/>
  <c r="O36" i="8"/>
  <c r="N38" i="8" l="1"/>
  <c r="O37" i="8"/>
  <c r="N39" i="8" l="1"/>
  <c r="O38" i="8"/>
  <c r="N40" i="8" l="1"/>
  <c r="O39" i="8"/>
  <c r="N41" i="8" l="1"/>
  <c r="O40" i="8"/>
  <c r="N42" i="8" l="1"/>
  <c r="O41" i="8"/>
  <c r="N43" i="8" l="1"/>
  <c r="O42" i="8"/>
  <c r="N44" i="8" l="1"/>
  <c r="O43" i="8"/>
  <c r="N45" i="8" l="1"/>
  <c r="O44" i="8"/>
  <c r="N46" i="8" l="1"/>
  <c r="O45" i="8"/>
  <c r="N47" i="8" l="1"/>
  <c r="O46" i="8"/>
  <c r="N48" i="8" l="1"/>
  <c r="O47" i="8"/>
  <c r="N49" i="8" l="1"/>
  <c r="O48" i="8"/>
  <c r="N50" i="8" l="1"/>
  <c r="O49" i="8"/>
  <c r="N51" i="8" l="1"/>
  <c r="O50" i="8"/>
  <c r="N52" i="8" l="1"/>
  <c r="O51" i="8"/>
  <c r="N53" i="8" l="1"/>
  <c r="O52" i="8"/>
  <c r="N54" i="8" l="1"/>
  <c r="O53" i="8"/>
  <c r="N55" i="8" l="1"/>
  <c r="O54" i="8"/>
  <c r="N56" i="8" l="1"/>
  <c r="O55" i="8"/>
  <c r="N57" i="8" l="1"/>
  <c r="O56" i="8"/>
  <c r="N58" i="8" l="1"/>
  <c r="O57" i="8"/>
  <c r="N59" i="8" l="1"/>
  <c r="O58" i="8"/>
  <c r="N60" i="8" l="1"/>
  <c r="O59" i="8"/>
  <c r="N61" i="8" l="1"/>
  <c r="O60" i="8"/>
  <c r="N62" i="8" l="1"/>
  <c r="O61" i="8"/>
  <c r="N63" i="8" l="1"/>
  <c r="O63" i="8" s="1"/>
  <c r="O62" i="8"/>
</calcChain>
</file>

<file path=xl/sharedStrings.xml><?xml version="1.0" encoding="utf-8"?>
<sst xmlns="http://schemas.openxmlformats.org/spreadsheetml/2006/main" count="14" uniqueCount="14">
  <si>
    <t>#</t>
  </si>
  <si>
    <t>Y</t>
  </si>
  <si>
    <t>X</t>
  </si>
  <si>
    <t>Среднее</t>
  </si>
  <si>
    <t>Значение</t>
  </si>
  <si>
    <t>Станд Откл</t>
  </si>
  <si>
    <t>Минимум</t>
  </si>
  <si>
    <t>Максимум</t>
  </si>
  <si>
    <t>Шаг</t>
  </si>
  <si>
    <t>Количество категорий</t>
  </si>
  <si>
    <t>X1</t>
  </si>
  <si>
    <t>Y1</t>
  </si>
  <si>
    <t>Показатель</t>
  </si>
  <si>
    <t>Знач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</si>
</sst>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Segoe UI Light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" fontId="0" fillId="0" borderId="2" xfId="0" applyNumberFormat="1" applyBorder="1"/>
    <xf numFmtId="164" fontId="0" fillId="0" borderId="3" xfId="0" applyNumberFormat="1" applyBorder="1"/>
    <xf numFmtId="2" fontId="0" fillId="0" borderId="2" xfId="0" applyNumberFormat="1" applyBorder="1"/>
    <xf numFmtId="0" fontId="0" fillId="0" borderId="3" xfId="0" applyBorder="1"/>
    <xf numFmtId="0" fontId="2" fillId="2" borderId="1" xfId="0" applyFont="1" applyFill="1" applyBorder="1"/>
    <xf numFmtId="0" fontId="0" fillId="3" borderId="0" xfId="0" applyFill="1"/>
    <xf numFmtId="0" fontId="3" fillId="3" borderId="0" xfId="2" applyFont="1" applyFill="1" applyAlignment="1">
      <alignment horizontal="left" vertical="center" wrapText="1"/>
    </xf>
    <xf numFmtId="0" fontId="3" fillId="3" borderId="0" xfId="2" applyFont="1" applyFill="1" applyAlignment="1">
      <alignment horizontal="left" vertical="center"/>
    </xf>
  </cellXfs>
  <cellStyles count="3">
    <cellStyle name="Normal 2" xfId="1" xr:uid="{00000000-0005-0000-0000-000000000000}"/>
    <cellStyle name="Гиперссылка" xfId="2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NormDistr!$A$12</c:f>
          <c:strCache>
            <c:ptCount val="1"/>
            <c:pt idx="0">
              <c:v>Нормальное распределение μ=71,45, σ=0,5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[0]!Y_categories</c:f>
              <c:numCache>
                <c:formatCode>0.0</c:formatCode>
                <c:ptCount val="14"/>
                <c:pt idx="0">
                  <c:v>66</c:v>
                </c:pt>
                <c:pt idx="1">
                  <c:v>67</c:v>
                </c:pt>
                <c:pt idx="2">
                  <c:v>68</c:v>
                </c:pt>
                <c:pt idx="3">
                  <c:v>69</c:v>
                </c:pt>
                <c:pt idx="4">
                  <c:v>70</c:v>
                </c:pt>
                <c:pt idx="5">
                  <c:v>71</c:v>
                </c:pt>
                <c:pt idx="6">
                  <c:v>72</c:v>
                </c:pt>
                <c:pt idx="7">
                  <c:v>73</c:v>
                </c:pt>
                <c:pt idx="8">
                  <c:v>74</c:v>
                </c:pt>
                <c:pt idx="9">
                  <c:v>75</c:v>
                </c:pt>
                <c:pt idx="10">
                  <c:v>76</c:v>
                </c:pt>
                <c:pt idx="11">
                  <c:v>77</c:v>
                </c:pt>
                <c:pt idx="12">
                  <c:v>78</c:v>
                </c:pt>
                <c:pt idx="13" formatCode="0">
                  <c:v>79</c:v>
                </c:pt>
              </c:numCache>
            </c:numRef>
          </c:cat>
          <c:val>
            <c:numRef>
              <c:f>[0]!X_categories</c:f>
              <c:numCache>
                <c:formatCode>General</c:formatCode>
                <c:ptCount val="14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4-4C5D-BEDF-28269A4DD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32463392"/>
        <c:axId val="402183168"/>
      </c:barChart>
      <c:scatterChart>
        <c:scatterStyle val="smoothMarker"/>
        <c:varyColors val="0"/>
        <c:ser>
          <c:idx val="0"/>
          <c:order val="0"/>
          <c:tx>
            <c:strRef>
              <c:f>NormDistr!$O$13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NormDistr!$N$14:$N$63</c:f>
              <c:numCache>
                <c:formatCode>0.0</c:formatCode>
                <c:ptCount val="50"/>
                <c:pt idx="0">
                  <c:v>66</c:v>
                </c:pt>
                <c:pt idx="1">
                  <c:v>66.260000000000005</c:v>
                </c:pt>
                <c:pt idx="2">
                  <c:v>66.52000000000001</c:v>
                </c:pt>
                <c:pt idx="3">
                  <c:v>66.780000000000015</c:v>
                </c:pt>
                <c:pt idx="4">
                  <c:v>67.04000000000002</c:v>
                </c:pt>
                <c:pt idx="5">
                  <c:v>67.300000000000026</c:v>
                </c:pt>
                <c:pt idx="6">
                  <c:v>67.560000000000031</c:v>
                </c:pt>
                <c:pt idx="7">
                  <c:v>67.820000000000036</c:v>
                </c:pt>
                <c:pt idx="8">
                  <c:v>68.080000000000041</c:v>
                </c:pt>
                <c:pt idx="9">
                  <c:v>68.340000000000046</c:v>
                </c:pt>
                <c:pt idx="10">
                  <c:v>68.600000000000051</c:v>
                </c:pt>
                <c:pt idx="11">
                  <c:v>68.860000000000056</c:v>
                </c:pt>
                <c:pt idx="12">
                  <c:v>69.120000000000061</c:v>
                </c:pt>
                <c:pt idx="13">
                  <c:v>69.380000000000067</c:v>
                </c:pt>
                <c:pt idx="14">
                  <c:v>69.640000000000072</c:v>
                </c:pt>
                <c:pt idx="15">
                  <c:v>69.900000000000077</c:v>
                </c:pt>
                <c:pt idx="16">
                  <c:v>70.160000000000082</c:v>
                </c:pt>
                <c:pt idx="17">
                  <c:v>70.420000000000087</c:v>
                </c:pt>
                <c:pt idx="18">
                  <c:v>70.680000000000092</c:v>
                </c:pt>
                <c:pt idx="19">
                  <c:v>70.940000000000097</c:v>
                </c:pt>
                <c:pt idx="20">
                  <c:v>71.200000000000102</c:v>
                </c:pt>
                <c:pt idx="21">
                  <c:v>71.460000000000107</c:v>
                </c:pt>
                <c:pt idx="22">
                  <c:v>71.720000000000113</c:v>
                </c:pt>
                <c:pt idx="23">
                  <c:v>71.980000000000118</c:v>
                </c:pt>
                <c:pt idx="24">
                  <c:v>72.240000000000123</c:v>
                </c:pt>
                <c:pt idx="25">
                  <c:v>72.500000000000128</c:v>
                </c:pt>
                <c:pt idx="26">
                  <c:v>72.760000000000133</c:v>
                </c:pt>
                <c:pt idx="27">
                  <c:v>73.020000000000138</c:v>
                </c:pt>
                <c:pt idx="28">
                  <c:v>73.280000000000143</c:v>
                </c:pt>
                <c:pt idx="29">
                  <c:v>73.540000000000148</c:v>
                </c:pt>
                <c:pt idx="30">
                  <c:v>73.800000000000153</c:v>
                </c:pt>
                <c:pt idx="31">
                  <c:v>74.060000000000159</c:v>
                </c:pt>
                <c:pt idx="32">
                  <c:v>74.320000000000164</c:v>
                </c:pt>
                <c:pt idx="33">
                  <c:v>74.580000000000169</c:v>
                </c:pt>
                <c:pt idx="34">
                  <c:v>74.840000000000174</c:v>
                </c:pt>
                <c:pt idx="35">
                  <c:v>75.100000000000179</c:v>
                </c:pt>
                <c:pt idx="36">
                  <c:v>75.360000000000184</c:v>
                </c:pt>
                <c:pt idx="37">
                  <c:v>75.620000000000189</c:v>
                </c:pt>
                <c:pt idx="38">
                  <c:v>75.880000000000194</c:v>
                </c:pt>
                <c:pt idx="39">
                  <c:v>76.1400000000002</c:v>
                </c:pt>
                <c:pt idx="40">
                  <c:v>76.400000000000205</c:v>
                </c:pt>
                <c:pt idx="41">
                  <c:v>76.66000000000021</c:v>
                </c:pt>
                <c:pt idx="42">
                  <c:v>76.920000000000215</c:v>
                </c:pt>
                <c:pt idx="43">
                  <c:v>77.18000000000022</c:v>
                </c:pt>
                <c:pt idx="44">
                  <c:v>77.440000000000225</c:v>
                </c:pt>
                <c:pt idx="45">
                  <c:v>77.70000000000023</c:v>
                </c:pt>
                <c:pt idx="46">
                  <c:v>77.960000000000235</c:v>
                </c:pt>
                <c:pt idx="47">
                  <c:v>78.22000000000024</c:v>
                </c:pt>
                <c:pt idx="48">
                  <c:v>78.480000000000246</c:v>
                </c:pt>
                <c:pt idx="49">
                  <c:v>78.740000000000251</c:v>
                </c:pt>
              </c:numCache>
            </c:numRef>
          </c:xVal>
          <c:yVal>
            <c:numRef>
              <c:f>NormDistr!$O$14:$O$63</c:f>
              <c:numCache>
                <c:formatCode>General</c:formatCode>
                <c:ptCount val="50"/>
                <c:pt idx="0">
                  <c:v>1.2667075643660403E-24</c:v>
                </c:pt>
                <c:pt idx="1">
                  <c:v>3.2028815186904396E-22</c:v>
                </c:pt>
                <c:pt idx="2">
                  <c:v>6.1797677708082016E-20</c:v>
                </c:pt>
                <c:pt idx="3">
                  <c:v>9.0985085750241891E-18</c:v>
                </c:pt>
                <c:pt idx="4">
                  <c:v>1.0221980178562725E-15</c:v>
                </c:pt>
                <c:pt idx="5">
                  <c:v>8.7632788710220161E-14</c:v>
                </c:pt>
                <c:pt idx="6">
                  <c:v>5.7327763906801278E-12</c:v>
                </c:pt>
                <c:pt idx="7">
                  <c:v>2.8617398049417859E-10</c:v>
                </c:pt>
                <c:pt idx="8">
                  <c:v>1.0900892540042128E-8</c:v>
                </c:pt>
                <c:pt idx="9">
                  <c:v>3.1685513127545989E-7</c:v>
                </c:pt>
                <c:pt idx="10">
                  <c:v>7.0279101896447383E-6</c:v>
                </c:pt>
                <c:pt idx="11">
                  <c:v>1.1894835309622098E-4</c:v>
                </c:pt>
                <c:pt idx="12">
                  <c:v>1.5362342234509316E-3</c:v>
                </c:pt>
                <c:pt idx="13">
                  <c:v>1.5139907106040204E-2</c:v>
                </c:pt>
                <c:pt idx="14">
                  <c:v>0.11385595676690725</c:v>
                </c:pt>
                <c:pt idx="15">
                  <c:v>0.65336381124028375</c:v>
                </c:pt>
                <c:pt idx="16">
                  <c:v>2.8610217988311057</c:v>
                </c:pt>
                <c:pt idx="17">
                  <c:v>9.5599149764187175</c:v>
                </c:pt>
                <c:pt idx="18">
                  <c:v>24.375507406487056</c:v>
                </c:pt>
                <c:pt idx="19">
                  <c:v>47.426390403885044</c:v>
                </c:pt>
                <c:pt idx="20">
                  <c:v>70.413065352866894</c:v>
                </c:pt>
                <c:pt idx="21">
                  <c:v>79.772499984732889</c:v>
                </c:pt>
                <c:pt idx="22">
                  <c:v>68.963600287858512</c:v>
                </c:pt>
                <c:pt idx="23">
                  <c:v>45.493926491466105</c:v>
                </c:pt>
                <c:pt idx="24">
                  <c:v>22.900960051849797</c:v>
                </c:pt>
                <c:pt idx="25">
                  <c:v>8.7967191960808169</c:v>
                </c:pt>
                <c:pt idx="26">
                  <c:v>2.5784252215773034</c:v>
                </c:pt>
                <c:pt idx="27">
                  <c:v>0.57670686952019812</c:v>
                </c:pt>
                <c:pt idx="28">
                  <c:v>9.8428865766477552E-2</c:v>
                </c:pt>
                <c:pt idx="29">
                  <c:v>1.2819072645405598E-2</c:v>
                </c:pt>
                <c:pt idx="30">
                  <c:v>1.2739650357716167E-3</c:v>
                </c:pt>
                <c:pt idx="31">
                  <c:v>9.6610689389836448E-5</c:v>
                </c:pt>
                <c:pt idx="32">
                  <c:v>5.5906155160206018E-6</c:v>
                </c:pt>
                <c:pt idx="33">
                  <c:v>2.4686575091061349E-7</c:v>
                </c:pt>
                <c:pt idx="34">
                  <c:v>8.3181898935128209E-9</c:v>
                </c:pt>
                <c:pt idx="35">
                  <c:v>2.1387675743028265E-10</c:v>
                </c:pt>
                <c:pt idx="36">
                  <c:v>4.1962864234275095E-12</c:v>
                </c:pt>
                <c:pt idx="37">
                  <c:v>6.2825134748541544E-14</c:v>
                </c:pt>
                <c:pt idx="38">
                  <c:v>7.1774223989519272E-16</c:v>
                </c:pt>
                <c:pt idx="39">
                  <c:v>6.2570605068357459E-18</c:v>
                </c:pt>
                <c:pt idx="40">
                  <c:v>4.1623536403890279E-20</c:v>
                </c:pt>
                <c:pt idx="41">
                  <c:v>2.1128777465699488E-22</c:v>
                </c:pt>
                <c:pt idx="42">
                  <c:v>8.1842056627438873E-25</c:v>
                </c:pt>
                <c:pt idx="43">
                  <c:v>2.4190534908492022E-27</c:v>
                </c:pt>
                <c:pt idx="44">
                  <c:v>5.4560856741578072E-30</c:v>
                </c:pt>
                <c:pt idx="45">
                  <c:v>9.390390715896913E-33</c:v>
                </c:pt>
                <c:pt idx="46">
                  <c:v>1.2332550896298006E-35</c:v>
                </c:pt>
                <c:pt idx="47">
                  <c:v>1.2359159648378026E-38</c:v>
                </c:pt>
                <c:pt idx="48">
                  <c:v>9.4513041671224802E-42</c:v>
                </c:pt>
                <c:pt idx="49">
                  <c:v>5.5152005586221355E-45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24-4C5D-BEDF-28269A4DD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465352"/>
        <c:axId val="532464960"/>
      </c:scatterChart>
      <c:catAx>
        <c:axId val="532463392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183168"/>
        <c:crosses val="autoZero"/>
        <c:auto val="1"/>
        <c:lblAlgn val="ctr"/>
        <c:lblOffset val="100"/>
        <c:noMultiLvlLbl val="0"/>
      </c:catAx>
      <c:valAx>
        <c:axId val="40218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463392"/>
        <c:crosses val="autoZero"/>
        <c:crossBetween val="between"/>
      </c:valAx>
      <c:valAx>
        <c:axId val="5324649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465352"/>
        <c:crosses val="max"/>
        <c:crossBetween val="midCat"/>
      </c:valAx>
      <c:valAx>
        <c:axId val="532465352"/>
        <c:scaling>
          <c:orientation val="minMax"/>
        </c:scaling>
        <c:delete val="0"/>
        <c:axPos val="t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464960"/>
        <c:crosses val="max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226219</xdr:colOff>
      <xdr:row>8</xdr:row>
      <xdr:rowOff>51195</xdr:rowOff>
    </xdr:from>
    <xdr:to>
      <xdr:col>10</xdr:col>
      <xdr:colOff>547688</xdr:colOff>
      <xdr:row>22</xdr:row>
      <xdr:rowOff>127395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Z63"/>
  <sheetViews>
    <sheetView showGridLines="0" tabSelected="1" zoomScale="80" zoomScaleNormal="80" workbookViewId="0">
      <selection activeCell="K6" sqref="K6"/>
    </sheetView>
  </sheetViews>
  <sheetFormatPr defaultRowHeight="15" x14ac:dyDescent="0.25"/>
  <cols>
    <col min="1" max="1" width="25.7109375" customWidth="1"/>
  </cols>
  <sheetData>
    <row r="1" spans="1:52" x14ac:dyDescent="0.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</row>
    <row r="2" spans="1:5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</row>
    <row r="4" spans="1:52" x14ac:dyDescent="0.25">
      <c r="A4" s="10" t="s">
        <v>12</v>
      </c>
      <c r="B4" s="10" t="s">
        <v>13</v>
      </c>
    </row>
    <row r="5" spans="1:52" x14ac:dyDescent="0.25">
      <c r="A5" s="4" t="s">
        <v>3</v>
      </c>
      <c r="B5" s="4">
        <v>71.45</v>
      </c>
    </row>
    <row r="6" spans="1:52" x14ac:dyDescent="0.25">
      <c r="A6" s="4" t="s">
        <v>5</v>
      </c>
      <c r="B6" s="4">
        <v>0.5</v>
      </c>
    </row>
    <row r="7" spans="1:52" x14ac:dyDescent="0.25">
      <c r="A7" s="4" t="s">
        <v>6</v>
      </c>
      <c r="B7" s="8">
        <f ca="1">MIN(Datas)</f>
        <v>66</v>
      </c>
    </row>
    <row r="8" spans="1:52" x14ac:dyDescent="0.25">
      <c r="A8" s="4" t="s">
        <v>7</v>
      </c>
      <c r="B8" s="8">
        <f ca="1">MAX(Datas)</f>
        <v>79</v>
      </c>
    </row>
    <row r="9" spans="1:52" x14ac:dyDescent="0.25">
      <c r="A9" s="4" t="s">
        <v>8</v>
      </c>
      <c r="B9" s="4">
        <v>1</v>
      </c>
      <c r="C9" s="2"/>
    </row>
    <row r="10" spans="1:52" x14ac:dyDescent="0.25">
      <c r="A10" s="9" t="s">
        <v>9</v>
      </c>
      <c r="B10" s="9">
        <f ca="1">ROUNDUP((B8-B7)/B9,0)+1</f>
        <v>14</v>
      </c>
    </row>
    <row r="12" spans="1:52" x14ac:dyDescent="0.25">
      <c r="A12" t="str">
        <f>"Нормальное распределение μ=" &amp; B5 &amp; ", σ=" &amp; B6</f>
        <v>Нормальное распределение μ=71,45, σ=0,5</v>
      </c>
    </row>
    <row r="13" spans="1:52" x14ac:dyDescent="0.25">
      <c r="A13" s="10" t="s">
        <v>0</v>
      </c>
      <c r="B13" s="10" t="s">
        <v>1</v>
      </c>
      <c r="C13" s="10" t="s">
        <v>2</v>
      </c>
      <c r="N13" t="s">
        <v>10</v>
      </c>
      <c r="O13" t="s">
        <v>11</v>
      </c>
    </row>
    <row r="14" spans="1:52" x14ac:dyDescent="0.25">
      <c r="A14" s="4">
        <v>1</v>
      </c>
      <c r="B14" s="5">
        <f ca="1">_xlfn.FLOOR.MATH(B7,B9)</f>
        <v>66</v>
      </c>
      <c r="C14" s="4">
        <f t="array" aca="1" ref="C14:C33" ca="1">FREQUENCY(Datas,X_categories_f)</f>
        <v>4</v>
      </c>
      <c r="N14" s="1">
        <f ca="1">B14</f>
        <v>66</v>
      </c>
      <c r="O14">
        <f ca="1">_xlfn.NORM.DIST(N14,$B$5,$B$6,0)*100</f>
        <v>1.2667075643660403E-24</v>
      </c>
    </row>
    <row r="15" spans="1:52" x14ac:dyDescent="0.25">
      <c r="A15" s="4">
        <f ca="1">IF(A14&lt;$B$10,A14+1,"")</f>
        <v>2</v>
      </c>
      <c r="B15" s="5">
        <f ca="1">IF(A15,B14+$B$9,"")</f>
        <v>67</v>
      </c>
      <c r="C15" s="4">
        <f ca="1"/>
        <v>2</v>
      </c>
      <c r="N15" s="1">
        <f ca="1">N14+($B$8-$B$7)/50</f>
        <v>66.260000000000005</v>
      </c>
      <c r="O15">
        <f t="shared" ref="O15:O63" ca="1" si="0">_xlfn.NORM.DIST(N15,$B$5,$B$6,0)*100</f>
        <v>3.2028815186904396E-22</v>
      </c>
    </row>
    <row r="16" spans="1:52" x14ac:dyDescent="0.25">
      <c r="A16" s="4">
        <f t="shared" ref="A16:A33" ca="1" si="1">IF(A15&lt;$B$10,A15+1,"")</f>
        <v>3</v>
      </c>
      <c r="B16" s="5">
        <f t="shared" ref="B16:B28" ca="1" si="2">IF(A16,B15+$B$9,"")</f>
        <v>68</v>
      </c>
      <c r="C16" s="4">
        <f ca="1"/>
        <v>1</v>
      </c>
      <c r="N16" s="1">
        <f t="shared" ref="N16:N63" ca="1" si="3">N15+($B$8-$B$7)/50</f>
        <v>66.52000000000001</v>
      </c>
      <c r="O16">
        <f t="shared" ca="1" si="0"/>
        <v>6.1797677708082016E-20</v>
      </c>
    </row>
    <row r="17" spans="1:15" x14ac:dyDescent="0.25">
      <c r="A17" s="4">
        <f t="shared" ca="1" si="1"/>
        <v>4</v>
      </c>
      <c r="B17" s="5">
        <f t="shared" ca="1" si="2"/>
        <v>69</v>
      </c>
      <c r="C17" s="4">
        <f ca="1"/>
        <v>2</v>
      </c>
      <c r="N17" s="1">
        <f t="shared" ca="1" si="3"/>
        <v>66.780000000000015</v>
      </c>
      <c r="O17">
        <f t="shared" ca="1" si="0"/>
        <v>9.0985085750241891E-18</v>
      </c>
    </row>
    <row r="18" spans="1:15" x14ac:dyDescent="0.25">
      <c r="A18" s="4">
        <f t="shared" ca="1" si="1"/>
        <v>5</v>
      </c>
      <c r="B18" s="5">
        <f t="shared" ca="1" si="2"/>
        <v>70</v>
      </c>
      <c r="C18" s="4">
        <f ca="1"/>
        <v>1</v>
      </c>
      <c r="N18" s="1">
        <f t="shared" ca="1" si="3"/>
        <v>67.04000000000002</v>
      </c>
      <c r="O18">
        <f t="shared" ca="1" si="0"/>
        <v>1.0221980178562725E-15</v>
      </c>
    </row>
    <row r="19" spans="1:15" x14ac:dyDescent="0.25">
      <c r="A19" s="4">
        <f ca="1">IF(A18&lt;$B$10,A18+1,"")</f>
        <v>6</v>
      </c>
      <c r="B19" s="5">
        <f t="shared" ca="1" si="2"/>
        <v>71</v>
      </c>
      <c r="C19" s="4">
        <f ca="1"/>
        <v>2</v>
      </c>
      <c r="N19" s="1">
        <f t="shared" ca="1" si="3"/>
        <v>67.300000000000026</v>
      </c>
      <c r="O19">
        <f t="shared" ca="1" si="0"/>
        <v>8.7632788710220161E-14</v>
      </c>
    </row>
    <row r="20" spans="1:15" x14ac:dyDescent="0.25">
      <c r="A20" s="4">
        <f t="shared" ca="1" si="1"/>
        <v>7</v>
      </c>
      <c r="B20" s="5">
        <f t="shared" ca="1" si="2"/>
        <v>72</v>
      </c>
      <c r="C20" s="4">
        <f ca="1"/>
        <v>0</v>
      </c>
      <c r="N20" s="1">
        <f t="shared" ca="1" si="3"/>
        <v>67.560000000000031</v>
      </c>
      <c r="O20">
        <f t="shared" ca="1" si="0"/>
        <v>5.7327763906801278E-12</v>
      </c>
    </row>
    <row r="21" spans="1:15" x14ac:dyDescent="0.25">
      <c r="A21" s="4">
        <f t="shared" ca="1" si="1"/>
        <v>8</v>
      </c>
      <c r="B21" s="5">
        <f t="shared" ca="1" si="2"/>
        <v>73</v>
      </c>
      <c r="C21" s="4">
        <f ca="1"/>
        <v>3</v>
      </c>
      <c r="N21" s="1">
        <f t="shared" ca="1" si="3"/>
        <v>67.820000000000036</v>
      </c>
      <c r="O21">
        <f t="shared" ca="1" si="0"/>
        <v>2.8617398049417859E-10</v>
      </c>
    </row>
    <row r="22" spans="1:15" x14ac:dyDescent="0.25">
      <c r="A22" s="4">
        <f t="shared" ca="1" si="1"/>
        <v>9</v>
      </c>
      <c r="B22" s="5">
        <f t="shared" ca="1" si="2"/>
        <v>74</v>
      </c>
      <c r="C22" s="4">
        <f ca="1"/>
        <v>2</v>
      </c>
      <c r="N22" s="1">
        <f t="shared" ca="1" si="3"/>
        <v>68.080000000000041</v>
      </c>
      <c r="O22">
        <f t="shared" ca="1" si="0"/>
        <v>1.0900892540042128E-8</v>
      </c>
    </row>
    <row r="23" spans="1:15" x14ac:dyDescent="0.25">
      <c r="A23" s="4">
        <f t="shared" ca="1" si="1"/>
        <v>10</v>
      </c>
      <c r="B23" s="5">
        <f t="shared" ca="1" si="2"/>
        <v>75</v>
      </c>
      <c r="C23" s="4">
        <f ca="1"/>
        <v>2</v>
      </c>
      <c r="N23" s="1">
        <f t="shared" ca="1" si="3"/>
        <v>68.340000000000046</v>
      </c>
      <c r="O23">
        <f t="shared" ca="1" si="0"/>
        <v>3.1685513127545989E-7</v>
      </c>
    </row>
    <row r="24" spans="1:15" x14ac:dyDescent="0.25">
      <c r="A24" s="4">
        <f t="shared" ca="1" si="1"/>
        <v>11</v>
      </c>
      <c r="B24" s="5">
        <f t="shared" ca="1" si="2"/>
        <v>76</v>
      </c>
      <c r="C24" s="4">
        <f ca="1"/>
        <v>0</v>
      </c>
      <c r="N24" s="1">
        <f t="shared" ca="1" si="3"/>
        <v>68.600000000000051</v>
      </c>
      <c r="O24">
        <f t="shared" ca="1" si="0"/>
        <v>7.0279101896447383E-6</v>
      </c>
    </row>
    <row r="25" spans="1:15" x14ac:dyDescent="0.25">
      <c r="A25" s="4">
        <f t="shared" ca="1" si="1"/>
        <v>12</v>
      </c>
      <c r="B25" s="5">
        <f ca="1">IF(A25,B24+$B$9,"")</f>
        <v>77</v>
      </c>
      <c r="C25" s="4">
        <f ca="1"/>
        <v>0</v>
      </c>
      <c r="N25" s="1">
        <f t="shared" ca="1" si="3"/>
        <v>68.860000000000056</v>
      </c>
      <c r="O25">
        <f t="shared" ca="1" si="0"/>
        <v>1.1894835309622098E-4</v>
      </c>
    </row>
    <row r="26" spans="1:15" x14ac:dyDescent="0.25">
      <c r="A26" s="4">
        <f t="shared" ca="1" si="1"/>
        <v>13</v>
      </c>
      <c r="B26" s="5">
        <f t="shared" ca="1" si="2"/>
        <v>78</v>
      </c>
      <c r="C26" s="4">
        <f ca="1"/>
        <v>1</v>
      </c>
      <c r="N26" s="1">
        <f t="shared" ca="1" si="3"/>
        <v>69.120000000000061</v>
      </c>
      <c r="O26">
        <f t="shared" ca="1" si="0"/>
        <v>1.5362342234509316E-3</v>
      </c>
    </row>
    <row r="27" spans="1:15" x14ac:dyDescent="0.25">
      <c r="A27" s="4">
        <f t="shared" ca="1" si="1"/>
        <v>14</v>
      </c>
      <c r="B27" s="6">
        <f t="shared" ca="1" si="2"/>
        <v>79</v>
      </c>
      <c r="C27" s="4">
        <f ca="1"/>
        <v>0</v>
      </c>
      <c r="N27" s="1">
        <f t="shared" ca="1" si="3"/>
        <v>69.380000000000067</v>
      </c>
      <c r="O27">
        <f t="shared" ca="1" si="0"/>
        <v>1.5139907106040204E-2</v>
      </c>
    </row>
    <row r="28" spans="1:15" x14ac:dyDescent="0.25">
      <c r="A28" s="4" t="str">
        <f t="shared" ca="1" si="1"/>
        <v/>
      </c>
      <c r="B28" s="6" t="e">
        <f t="shared" ca="1" si="2"/>
        <v>#VALUE!</v>
      </c>
      <c r="C28" s="4" t="e">
        <f ca="1"/>
        <v>#N/A</v>
      </c>
      <c r="N28" s="1">
        <f t="shared" ca="1" si="3"/>
        <v>69.640000000000072</v>
      </c>
      <c r="O28">
        <f t="shared" ca="1" si="0"/>
        <v>0.11385595676690725</v>
      </c>
    </row>
    <row r="29" spans="1:15" x14ac:dyDescent="0.25">
      <c r="A29" s="4" t="str">
        <f ca="1">IF(A28&lt;$B$10,A28+1,"")</f>
        <v/>
      </c>
      <c r="B29" s="6" t="e">
        <f ca="1">IF(A29,B28+$B$9,"")</f>
        <v>#VALUE!</v>
      </c>
      <c r="C29" s="4" t="e">
        <f ca="1"/>
        <v>#N/A</v>
      </c>
      <c r="N29" s="1">
        <f t="shared" ca="1" si="3"/>
        <v>69.900000000000077</v>
      </c>
      <c r="O29">
        <f t="shared" ca="1" si="0"/>
        <v>0.65336381124028375</v>
      </c>
    </row>
    <row r="30" spans="1:15" x14ac:dyDescent="0.25">
      <c r="A30" s="4" t="str">
        <f t="shared" ref="A30:A33" ca="1" si="4">IF(A29&lt;$B$10,A29+1,"")</f>
        <v/>
      </c>
      <c r="B30" s="6" t="e">
        <f t="shared" ref="B30:B33" ca="1" si="5">IF(A30,B29+$B$9,"")</f>
        <v>#VALUE!</v>
      </c>
      <c r="C30" s="4" t="e">
        <f ca="1"/>
        <v>#N/A</v>
      </c>
      <c r="N30" s="1">
        <f t="shared" ca="1" si="3"/>
        <v>70.160000000000082</v>
      </c>
      <c r="O30">
        <f t="shared" ca="1" si="0"/>
        <v>2.8610217988311057</v>
      </c>
    </row>
    <row r="31" spans="1:15" x14ac:dyDescent="0.25">
      <c r="A31" s="4" t="str">
        <f t="shared" ca="1" si="4"/>
        <v/>
      </c>
      <c r="B31" s="6" t="e">
        <f t="shared" ca="1" si="5"/>
        <v>#VALUE!</v>
      </c>
      <c r="C31" s="4" t="e">
        <f ca="1"/>
        <v>#N/A</v>
      </c>
      <c r="N31" s="1">
        <f t="shared" ca="1" si="3"/>
        <v>70.420000000000087</v>
      </c>
      <c r="O31">
        <f t="shared" ca="1" si="0"/>
        <v>9.5599149764187175</v>
      </c>
    </row>
    <row r="32" spans="1:15" x14ac:dyDescent="0.25">
      <c r="A32" s="4" t="str">
        <f t="shared" ca="1" si="4"/>
        <v/>
      </c>
      <c r="B32" s="6" t="e">
        <f t="shared" ca="1" si="5"/>
        <v>#VALUE!</v>
      </c>
      <c r="C32" s="4" t="e">
        <f ca="1"/>
        <v>#N/A</v>
      </c>
      <c r="N32" s="1">
        <f t="shared" ca="1" si="3"/>
        <v>70.680000000000092</v>
      </c>
      <c r="O32">
        <f t="shared" ca="1" si="0"/>
        <v>24.375507406487056</v>
      </c>
    </row>
    <row r="33" spans="1:15" x14ac:dyDescent="0.25">
      <c r="A33" s="4" t="str">
        <f t="shared" ca="1" si="4"/>
        <v/>
      </c>
      <c r="B33" s="6" t="e">
        <f t="shared" ca="1" si="5"/>
        <v>#VALUE!</v>
      </c>
      <c r="C33" s="4" t="e">
        <f ca="1"/>
        <v>#N/A</v>
      </c>
      <c r="N33" s="1">
        <f t="shared" ca="1" si="3"/>
        <v>70.940000000000097</v>
      </c>
      <c r="O33">
        <f t="shared" ca="1" si="0"/>
        <v>47.426390403885044</v>
      </c>
    </row>
    <row r="34" spans="1:15" x14ac:dyDescent="0.25">
      <c r="N34" s="1">
        <f t="shared" ca="1" si="3"/>
        <v>71.200000000000102</v>
      </c>
      <c r="O34">
        <f t="shared" ca="1" si="0"/>
        <v>70.413065352866894</v>
      </c>
    </row>
    <row r="35" spans="1:15" x14ac:dyDescent="0.25">
      <c r="N35" s="1">
        <f t="shared" ca="1" si="3"/>
        <v>71.460000000000107</v>
      </c>
      <c r="O35">
        <f t="shared" ca="1" si="0"/>
        <v>79.772499984732889</v>
      </c>
    </row>
    <row r="36" spans="1:15" x14ac:dyDescent="0.25">
      <c r="N36" s="1">
        <f t="shared" ca="1" si="3"/>
        <v>71.720000000000113</v>
      </c>
      <c r="O36">
        <f t="shared" ca="1" si="0"/>
        <v>68.963600287858512</v>
      </c>
    </row>
    <row r="37" spans="1:15" x14ac:dyDescent="0.25">
      <c r="N37" s="1">
        <f t="shared" ca="1" si="3"/>
        <v>71.980000000000118</v>
      </c>
      <c r="O37">
        <f t="shared" ca="1" si="0"/>
        <v>45.493926491466105</v>
      </c>
    </row>
    <row r="38" spans="1:15" x14ac:dyDescent="0.25">
      <c r="N38" s="1">
        <f t="shared" ca="1" si="3"/>
        <v>72.240000000000123</v>
      </c>
      <c r="O38">
        <f t="shared" ca="1" si="0"/>
        <v>22.900960051849797</v>
      </c>
    </row>
    <row r="39" spans="1:15" x14ac:dyDescent="0.25">
      <c r="N39" s="1">
        <f t="shared" ca="1" si="3"/>
        <v>72.500000000000128</v>
      </c>
      <c r="O39">
        <f t="shared" ca="1" si="0"/>
        <v>8.7967191960808169</v>
      </c>
    </row>
    <row r="40" spans="1:15" x14ac:dyDescent="0.25">
      <c r="N40" s="1">
        <f t="shared" ca="1" si="3"/>
        <v>72.760000000000133</v>
      </c>
      <c r="O40">
        <f t="shared" ca="1" si="0"/>
        <v>2.5784252215773034</v>
      </c>
    </row>
    <row r="41" spans="1:15" x14ac:dyDescent="0.25">
      <c r="N41" s="1">
        <f t="shared" ca="1" si="3"/>
        <v>73.020000000000138</v>
      </c>
      <c r="O41">
        <f t="shared" ca="1" si="0"/>
        <v>0.57670686952019812</v>
      </c>
    </row>
    <row r="42" spans="1:15" x14ac:dyDescent="0.25">
      <c r="N42" s="1">
        <f t="shared" ca="1" si="3"/>
        <v>73.280000000000143</v>
      </c>
      <c r="O42">
        <f t="shared" ca="1" si="0"/>
        <v>9.8428865766477552E-2</v>
      </c>
    </row>
    <row r="43" spans="1:15" x14ac:dyDescent="0.25">
      <c r="N43" s="1">
        <f t="shared" ca="1" si="3"/>
        <v>73.540000000000148</v>
      </c>
      <c r="O43">
        <f t="shared" ca="1" si="0"/>
        <v>1.2819072645405598E-2</v>
      </c>
    </row>
    <row r="44" spans="1:15" x14ac:dyDescent="0.25">
      <c r="N44" s="1">
        <f t="shared" ca="1" si="3"/>
        <v>73.800000000000153</v>
      </c>
      <c r="O44">
        <f t="shared" ca="1" si="0"/>
        <v>1.2739650357716167E-3</v>
      </c>
    </row>
    <row r="45" spans="1:15" x14ac:dyDescent="0.25">
      <c r="N45" s="1">
        <f t="shared" ca="1" si="3"/>
        <v>74.060000000000159</v>
      </c>
      <c r="O45">
        <f t="shared" ca="1" si="0"/>
        <v>9.6610689389836448E-5</v>
      </c>
    </row>
    <row r="46" spans="1:15" x14ac:dyDescent="0.25">
      <c r="N46" s="1">
        <f t="shared" ca="1" si="3"/>
        <v>74.320000000000164</v>
      </c>
      <c r="O46">
        <f t="shared" ca="1" si="0"/>
        <v>5.5906155160206018E-6</v>
      </c>
    </row>
    <row r="47" spans="1:15" x14ac:dyDescent="0.25">
      <c r="N47" s="1">
        <f t="shared" ca="1" si="3"/>
        <v>74.580000000000169</v>
      </c>
      <c r="O47">
        <f t="shared" ca="1" si="0"/>
        <v>2.4686575091061349E-7</v>
      </c>
    </row>
    <row r="48" spans="1:15" x14ac:dyDescent="0.25">
      <c r="N48" s="1">
        <f t="shared" ca="1" si="3"/>
        <v>74.840000000000174</v>
      </c>
      <c r="O48">
        <f t="shared" ca="1" si="0"/>
        <v>8.3181898935128209E-9</v>
      </c>
    </row>
    <row r="49" spans="14:15" x14ac:dyDescent="0.25">
      <c r="N49" s="1">
        <f t="shared" ca="1" si="3"/>
        <v>75.100000000000179</v>
      </c>
      <c r="O49">
        <f t="shared" ca="1" si="0"/>
        <v>2.1387675743028265E-10</v>
      </c>
    </row>
    <row r="50" spans="14:15" x14ac:dyDescent="0.25">
      <c r="N50" s="1">
        <f t="shared" ca="1" si="3"/>
        <v>75.360000000000184</v>
      </c>
      <c r="O50">
        <f t="shared" ca="1" si="0"/>
        <v>4.1962864234275095E-12</v>
      </c>
    </row>
    <row r="51" spans="14:15" x14ac:dyDescent="0.25">
      <c r="N51" s="1">
        <f t="shared" ca="1" si="3"/>
        <v>75.620000000000189</v>
      </c>
      <c r="O51">
        <f t="shared" ca="1" si="0"/>
        <v>6.2825134748541544E-14</v>
      </c>
    </row>
    <row r="52" spans="14:15" x14ac:dyDescent="0.25">
      <c r="N52" s="1">
        <f t="shared" ca="1" si="3"/>
        <v>75.880000000000194</v>
      </c>
      <c r="O52">
        <f t="shared" ca="1" si="0"/>
        <v>7.1774223989519272E-16</v>
      </c>
    </row>
    <row r="53" spans="14:15" x14ac:dyDescent="0.25">
      <c r="N53" s="1">
        <f t="shared" ca="1" si="3"/>
        <v>76.1400000000002</v>
      </c>
      <c r="O53">
        <f t="shared" ca="1" si="0"/>
        <v>6.2570605068357459E-18</v>
      </c>
    </row>
    <row r="54" spans="14:15" x14ac:dyDescent="0.25">
      <c r="N54" s="1">
        <f t="shared" ca="1" si="3"/>
        <v>76.400000000000205</v>
      </c>
      <c r="O54">
        <f t="shared" ca="1" si="0"/>
        <v>4.1623536403890279E-20</v>
      </c>
    </row>
    <row r="55" spans="14:15" x14ac:dyDescent="0.25">
      <c r="N55" s="1">
        <f t="shared" ca="1" si="3"/>
        <v>76.66000000000021</v>
      </c>
      <c r="O55">
        <f t="shared" ca="1" si="0"/>
        <v>2.1128777465699488E-22</v>
      </c>
    </row>
    <row r="56" spans="14:15" x14ac:dyDescent="0.25">
      <c r="N56" s="1">
        <f t="shared" ca="1" si="3"/>
        <v>76.920000000000215</v>
      </c>
      <c r="O56">
        <f t="shared" ca="1" si="0"/>
        <v>8.1842056627438873E-25</v>
      </c>
    </row>
    <row r="57" spans="14:15" x14ac:dyDescent="0.25">
      <c r="N57" s="1">
        <f t="shared" ca="1" si="3"/>
        <v>77.18000000000022</v>
      </c>
      <c r="O57">
        <f t="shared" ca="1" si="0"/>
        <v>2.4190534908492022E-27</v>
      </c>
    </row>
    <row r="58" spans="14:15" x14ac:dyDescent="0.25">
      <c r="N58" s="1">
        <f t="shared" ca="1" si="3"/>
        <v>77.440000000000225</v>
      </c>
      <c r="O58">
        <f t="shared" ca="1" si="0"/>
        <v>5.4560856741578072E-30</v>
      </c>
    </row>
    <row r="59" spans="14:15" x14ac:dyDescent="0.25">
      <c r="N59" s="1">
        <f t="shared" ca="1" si="3"/>
        <v>77.70000000000023</v>
      </c>
      <c r="O59">
        <f t="shared" ca="1" si="0"/>
        <v>9.390390715896913E-33</v>
      </c>
    </row>
    <row r="60" spans="14:15" x14ac:dyDescent="0.25">
      <c r="N60" s="1">
        <f t="shared" ca="1" si="3"/>
        <v>77.960000000000235</v>
      </c>
      <c r="O60">
        <f t="shared" ca="1" si="0"/>
        <v>1.2332550896298006E-35</v>
      </c>
    </row>
    <row r="61" spans="14:15" x14ac:dyDescent="0.25">
      <c r="N61" s="1">
        <f t="shared" ca="1" si="3"/>
        <v>78.22000000000024</v>
      </c>
      <c r="O61">
        <f t="shared" ca="1" si="0"/>
        <v>1.2359159648378026E-38</v>
      </c>
    </row>
    <row r="62" spans="14:15" x14ac:dyDescent="0.25">
      <c r="N62" s="1">
        <f t="shared" ca="1" si="3"/>
        <v>78.480000000000246</v>
      </c>
      <c r="O62">
        <f t="shared" ca="1" si="0"/>
        <v>9.4513041671224802E-42</v>
      </c>
    </row>
    <row r="63" spans="14:15" x14ac:dyDescent="0.25">
      <c r="N63" s="1">
        <f t="shared" ca="1" si="3"/>
        <v>78.740000000000251</v>
      </c>
      <c r="O63">
        <f t="shared" ca="1" si="0"/>
        <v>5.5152005586221355E-45</v>
      </c>
    </row>
  </sheetData>
  <mergeCells count="1">
    <mergeCell ref="A1:P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B175"/>
  <sheetViews>
    <sheetView workbookViewId="0">
      <selection activeCell="A30" sqref="A30"/>
    </sheetView>
  </sheetViews>
  <sheetFormatPr defaultRowHeight="15" x14ac:dyDescent="0.25"/>
  <cols>
    <col min="1" max="1" width="14.85546875" customWidth="1"/>
  </cols>
  <sheetData>
    <row r="1" spans="1:2" x14ac:dyDescent="0.25">
      <c r="A1" s="3" t="s">
        <v>4</v>
      </c>
    </row>
    <row r="2" spans="1:2" x14ac:dyDescent="0.25">
      <c r="A2">
        <v>66</v>
      </c>
      <c r="B2" s="2"/>
    </row>
    <row r="3" spans="1:2" x14ac:dyDescent="0.25">
      <c r="A3">
        <v>66</v>
      </c>
      <c r="B3" s="2"/>
    </row>
    <row r="4" spans="1:2" x14ac:dyDescent="0.25">
      <c r="A4">
        <v>67</v>
      </c>
      <c r="B4" s="2"/>
    </row>
    <row r="5" spans="1:2" x14ac:dyDescent="0.25">
      <c r="A5">
        <v>67</v>
      </c>
      <c r="B5" s="2"/>
    </row>
    <row r="6" spans="1:2" x14ac:dyDescent="0.25">
      <c r="A6">
        <v>68</v>
      </c>
      <c r="B6" s="2"/>
    </row>
    <row r="7" spans="1:2" x14ac:dyDescent="0.25">
      <c r="A7">
        <v>68</v>
      </c>
      <c r="B7" s="2"/>
    </row>
    <row r="8" spans="1:2" x14ac:dyDescent="0.25">
      <c r="A8">
        <v>69</v>
      </c>
      <c r="B8" s="2"/>
    </row>
    <row r="9" spans="1:2" x14ac:dyDescent="0.25">
      <c r="A9">
        <v>70</v>
      </c>
      <c r="B9" s="2"/>
    </row>
    <row r="10" spans="1:2" x14ac:dyDescent="0.25">
      <c r="A10">
        <v>70</v>
      </c>
      <c r="B10" s="2"/>
    </row>
    <row r="11" spans="1:2" x14ac:dyDescent="0.25">
      <c r="A11">
        <v>71</v>
      </c>
      <c r="B11" s="2"/>
    </row>
    <row r="12" spans="1:2" x14ac:dyDescent="0.25">
      <c r="A12">
        <v>72</v>
      </c>
      <c r="B12" s="2"/>
    </row>
    <row r="13" spans="1:2" x14ac:dyDescent="0.25">
      <c r="A13">
        <v>72</v>
      </c>
      <c r="B13" s="2"/>
    </row>
    <row r="14" spans="1:2" x14ac:dyDescent="0.25">
      <c r="A14">
        <v>74</v>
      </c>
      <c r="B14" s="2"/>
    </row>
    <row r="15" spans="1:2" x14ac:dyDescent="0.25">
      <c r="A15">
        <v>74</v>
      </c>
      <c r="B15" s="2"/>
    </row>
    <row r="16" spans="1:2" x14ac:dyDescent="0.25">
      <c r="A16">
        <v>74</v>
      </c>
      <c r="B16" s="2"/>
    </row>
    <row r="17" spans="1:2" x14ac:dyDescent="0.25">
      <c r="A17">
        <v>75</v>
      </c>
      <c r="B17" s="2"/>
    </row>
    <row r="18" spans="1:2" x14ac:dyDescent="0.25">
      <c r="A18">
        <v>75</v>
      </c>
      <c r="B18" s="2"/>
    </row>
    <row r="19" spans="1:2" x14ac:dyDescent="0.25">
      <c r="A19">
        <v>76</v>
      </c>
      <c r="B19" s="2"/>
    </row>
    <row r="20" spans="1:2" x14ac:dyDescent="0.25">
      <c r="A20">
        <v>76</v>
      </c>
      <c r="B20" s="2"/>
    </row>
    <row r="21" spans="1:2" x14ac:dyDescent="0.25">
      <c r="A21">
        <v>79</v>
      </c>
      <c r="B21" s="2"/>
    </row>
    <row r="22" spans="1:2" x14ac:dyDescent="0.25">
      <c r="A22" s="5"/>
      <c r="B22" s="2"/>
    </row>
    <row r="23" spans="1:2" x14ac:dyDescent="0.25">
      <c r="A23" s="5"/>
      <c r="B23" s="2"/>
    </row>
    <row r="24" spans="1:2" x14ac:dyDescent="0.25">
      <c r="A24" s="5"/>
      <c r="B24" s="2"/>
    </row>
    <row r="25" spans="1:2" x14ac:dyDescent="0.25">
      <c r="A25" s="5"/>
      <c r="B25" s="2"/>
    </row>
    <row r="26" spans="1:2" x14ac:dyDescent="0.25">
      <c r="A26" s="5"/>
      <c r="B26" s="2"/>
    </row>
    <row r="27" spans="1:2" x14ac:dyDescent="0.25">
      <c r="A27" s="5"/>
      <c r="B27" s="2"/>
    </row>
    <row r="28" spans="1:2" x14ac:dyDescent="0.25">
      <c r="A28" s="5"/>
      <c r="B28" s="2"/>
    </row>
    <row r="29" spans="1:2" x14ac:dyDescent="0.25">
      <c r="A29" s="5"/>
      <c r="B29" s="2"/>
    </row>
    <row r="30" spans="1:2" x14ac:dyDescent="0.25">
      <c r="A30" s="5"/>
      <c r="B30" s="2"/>
    </row>
    <row r="31" spans="1:2" x14ac:dyDescent="0.25">
      <c r="A31" s="5"/>
      <c r="B31" s="2"/>
    </row>
    <row r="32" spans="1:2" x14ac:dyDescent="0.25">
      <c r="A32" s="5"/>
      <c r="B32" s="2"/>
    </row>
    <row r="33" spans="1:2" x14ac:dyDescent="0.25">
      <c r="A33" s="5"/>
      <c r="B33" s="2"/>
    </row>
    <row r="34" spans="1:2" x14ac:dyDescent="0.25">
      <c r="A34" s="5"/>
      <c r="B34" s="2"/>
    </row>
    <row r="35" spans="1:2" x14ac:dyDescent="0.25">
      <c r="A35" s="5"/>
      <c r="B35" s="2"/>
    </row>
    <row r="36" spans="1:2" x14ac:dyDescent="0.25">
      <c r="A36" s="5"/>
      <c r="B36" s="2"/>
    </row>
    <row r="37" spans="1:2" x14ac:dyDescent="0.25">
      <c r="A37" s="5"/>
      <c r="B37" s="2"/>
    </row>
    <row r="38" spans="1:2" x14ac:dyDescent="0.25">
      <c r="A38" s="5"/>
      <c r="B38" s="2"/>
    </row>
    <row r="39" spans="1:2" x14ac:dyDescent="0.25">
      <c r="A39" s="5"/>
      <c r="B39" s="2"/>
    </row>
    <row r="40" spans="1:2" x14ac:dyDescent="0.25">
      <c r="A40" s="5"/>
      <c r="B40" s="2"/>
    </row>
    <row r="41" spans="1:2" x14ac:dyDescent="0.25">
      <c r="A41" s="5"/>
      <c r="B41" s="2"/>
    </row>
    <row r="42" spans="1:2" x14ac:dyDescent="0.25">
      <c r="A42" s="5"/>
      <c r="B42" s="2"/>
    </row>
    <row r="43" spans="1:2" x14ac:dyDescent="0.25">
      <c r="A43" s="5"/>
      <c r="B43" s="2"/>
    </row>
    <row r="44" spans="1:2" x14ac:dyDescent="0.25">
      <c r="A44" s="5"/>
      <c r="B44" s="2"/>
    </row>
    <row r="45" spans="1:2" x14ac:dyDescent="0.25">
      <c r="A45" s="5"/>
      <c r="B45" s="2"/>
    </row>
    <row r="46" spans="1:2" x14ac:dyDescent="0.25">
      <c r="A46" s="5"/>
      <c r="B46" s="2"/>
    </row>
    <row r="47" spans="1:2" x14ac:dyDescent="0.25">
      <c r="A47" s="5"/>
      <c r="B47" s="2"/>
    </row>
    <row r="48" spans="1:2" x14ac:dyDescent="0.25">
      <c r="A48" s="5"/>
      <c r="B48" s="2"/>
    </row>
    <row r="49" spans="1:2" x14ac:dyDescent="0.25">
      <c r="A49" s="5"/>
      <c r="B49" s="2"/>
    </row>
    <row r="50" spans="1:2" x14ac:dyDescent="0.25">
      <c r="A50" s="5"/>
      <c r="B50" s="2"/>
    </row>
    <row r="51" spans="1:2" x14ac:dyDescent="0.25">
      <c r="A51" s="5"/>
      <c r="B51" s="2"/>
    </row>
    <row r="52" spans="1:2" x14ac:dyDescent="0.25">
      <c r="A52" s="5"/>
      <c r="B52" s="2"/>
    </row>
    <row r="53" spans="1:2" x14ac:dyDescent="0.25">
      <c r="A53" s="5"/>
      <c r="B53" s="2"/>
    </row>
    <row r="54" spans="1:2" x14ac:dyDescent="0.25">
      <c r="A54" s="5"/>
      <c r="B54" s="2"/>
    </row>
    <row r="55" spans="1:2" x14ac:dyDescent="0.25">
      <c r="A55" s="5"/>
      <c r="B55" s="2"/>
    </row>
    <row r="56" spans="1:2" x14ac:dyDescent="0.25">
      <c r="A56" s="5"/>
      <c r="B56" s="2"/>
    </row>
    <row r="57" spans="1:2" x14ac:dyDescent="0.25">
      <c r="A57" s="5"/>
      <c r="B57" s="2"/>
    </row>
    <row r="58" spans="1:2" x14ac:dyDescent="0.25">
      <c r="A58" s="5"/>
      <c r="B58" s="2"/>
    </row>
    <row r="59" spans="1:2" x14ac:dyDescent="0.25">
      <c r="A59" s="5"/>
      <c r="B59" s="2"/>
    </row>
    <row r="60" spans="1:2" x14ac:dyDescent="0.25">
      <c r="A60" s="5"/>
      <c r="B60" s="2"/>
    </row>
    <row r="61" spans="1:2" x14ac:dyDescent="0.25">
      <c r="A61" s="5"/>
      <c r="B61" s="2"/>
    </row>
    <row r="62" spans="1:2" x14ac:dyDescent="0.25">
      <c r="A62" s="5"/>
      <c r="B62" s="2"/>
    </row>
    <row r="63" spans="1:2" x14ac:dyDescent="0.25">
      <c r="A63" s="5"/>
      <c r="B63" s="2"/>
    </row>
    <row r="64" spans="1:2" x14ac:dyDescent="0.25">
      <c r="A64" s="5"/>
      <c r="B64" s="2"/>
    </row>
    <row r="65" spans="1:2" x14ac:dyDescent="0.25">
      <c r="A65" s="5"/>
      <c r="B65" s="2"/>
    </row>
    <row r="66" spans="1:2" x14ac:dyDescent="0.25">
      <c r="A66" s="5"/>
      <c r="B66" s="2"/>
    </row>
    <row r="67" spans="1:2" x14ac:dyDescent="0.25">
      <c r="A67" s="5"/>
      <c r="B67" s="2"/>
    </row>
    <row r="68" spans="1:2" x14ac:dyDescent="0.25">
      <c r="A68" s="5"/>
      <c r="B68" s="2"/>
    </row>
    <row r="69" spans="1:2" x14ac:dyDescent="0.25">
      <c r="A69" s="5"/>
      <c r="B69" s="2"/>
    </row>
    <row r="70" spans="1:2" x14ac:dyDescent="0.25">
      <c r="A70" s="5"/>
      <c r="B70" s="2"/>
    </row>
    <row r="71" spans="1:2" x14ac:dyDescent="0.25">
      <c r="A71" s="5"/>
      <c r="B71" s="2"/>
    </row>
    <row r="72" spans="1:2" x14ac:dyDescent="0.25">
      <c r="A72" s="5"/>
      <c r="B72" s="2"/>
    </row>
    <row r="73" spans="1:2" x14ac:dyDescent="0.25">
      <c r="A73" s="5"/>
      <c r="B73" s="2"/>
    </row>
    <row r="74" spans="1:2" x14ac:dyDescent="0.25">
      <c r="A74" s="5"/>
      <c r="B74" s="2"/>
    </row>
    <row r="75" spans="1:2" x14ac:dyDescent="0.25">
      <c r="A75" s="5"/>
      <c r="B75" s="2"/>
    </row>
    <row r="76" spans="1:2" x14ac:dyDescent="0.25">
      <c r="A76" s="5"/>
      <c r="B76" s="2"/>
    </row>
    <row r="77" spans="1:2" x14ac:dyDescent="0.25">
      <c r="A77" s="5"/>
      <c r="B77" s="2"/>
    </row>
    <row r="78" spans="1:2" x14ac:dyDescent="0.25">
      <c r="A78" s="5"/>
      <c r="B78" s="2"/>
    </row>
    <row r="79" spans="1:2" x14ac:dyDescent="0.25">
      <c r="A79" s="5"/>
      <c r="B79" s="2"/>
    </row>
    <row r="80" spans="1:2" x14ac:dyDescent="0.25">
      <c r="A80" s="5"/>
      <c r="B80" s="2"/>
    </row>
    <row r="81" spans="1:2" x14ac:dyDescent="0.25">
      <c r="A81" s="5"/>
      <c r="B81" s="2"/>
    </row>
    <row r="82" spans="1:2" x14ac:dyDescent="0.25">
      <c r="A82" s="5"/>
      <c r="B82" s="2"/>
    </row>
    <row r="83" spans="1:2" x14ac:dyDescent="0.25">
      <c r="A83" s="5"/>
      <c r="B83" s="2"/>
    </row>
    <row r="84" spans="1:2" x14ac:dyDescent="0.25">
      <c r="A84" s="5"/>
      <c r="B84" s="2"/>
    </row>
    <row r="85" spans="1:2" x14ac:dyDescent="0.25">
      <c r="A85" s="5"/>
      <c r="B85" s="2"/>
    </row>
    <row r="86" spans="1:2" x14ac:dyDescent="0.25">
      <c r="A86" s="5"/>
      <c r="B86" s="2"/>
    </row>
    <row r="87" spans="1:2" x14ac:dyDescent="0.25">
      <c r="A87" s="5"/>
      <c r="B87" s="2"/>
    </row>
    <row r="88" spans="1:2" x14ac:dyDescent="0.25">
      <c r="A88" s="5"/>
      <c r="B88" s="2"/>
    </row>
    <row r="89" spans="1:2" x14ac:dyDescent="0.25">
      <c r="A89" s="5"/>
      <c r="B89" s="2"/>
    </row>
    <row r="90" spans="1:2" x14ac:dyDescent="0.25">
      <c r="A90" s="5"/>
      <c r="B90" s="2"/>
    </row>
    <row r="91" spans="1:2" x14ac:dyDescent="0.25">
      <c r="A91" s="5"/>
      <c r="B91" s="2"/>
    </row>
    <row r="92" spans="1:2" x14ac:dyDescent="0.25">
      <c r="A92" s="5"/>
      <c r="B92" s="2"/>
    </row>
    <row r="93" spans="1:2" x14ac:dyDescent="0.25">
      <c r="A93" s="5"/>
      <c r="B93" s="2"/>
    </row>
    <row r="94" spans="1:2" x14ac:dyDescent="0.25">
      <c r="A94" s="5"/>
      <c r="B94" s="2"/>
    </row>
    <row r="95" spans="1:2" x14ac:dyDescent="0.25">
      <c r="A95" s="5"/>
      <c r="B95" s="2"/>
    </row>
    <row r="96" spans="1:2" x14ac:dyDescent="0.25">
      <c r="A96" s="5"/>
      <c r="B96" s="2"/>
    </row>
    <row r="97" spans="1:2" x14ac:dyDescent="0.25">
      <c r="A97" s="5"/>
      <c r="B97" s="2"/>
    </row>
    <row r="98" spans="1:2" x14ac:dyDescent="0.25">
      <c r="A98" s="5"/>
      <c r="B98" s="2"/>
    </row>
    <row r="99" spans="1:2" x14ac:dyDescent="0.25">
      <c r="A99" s="5"/>
      <c r="B99" s="2"/>
    </row>
    <row r="100" spans="1:2" x14ac:dyDescent="0.25">
      <c r="A100" s="5"/>
      <c r="B100" s="2"/>
    </row>
    <row r="101" spans="1:2" x14ac:dyDescent="0.25">
      <c r="A101" s="5"/>
      <c r="B101" s="2"/>
    </row>
    <row r="102" spans="1:2" x14ac:dyDescent="0.25">
      <c r="A102" s="5"/>
      <c r="B102" s="2"/>
    </row>
    <row r="103" spans="1:2" x14ac:dyDescent="0.25">
      <c r="A103" s="5"/>
      <c r="B103" s="2"/>
    </row>
    <row r="104" spans="1:2" x14ac:dyDescent="0.25">
      <c r="A104" s="5"/>
      <c r="B104" s="2"/>
    </row>
    <row r="105" spans="1:2" x14ac:dyDescent="0.25">
      <c r="A105" s="5"/>
      <c r="B105" s="2"/>
    </row>
    <row r="106" spans="1:2" x14ac:dyDescent="0.25">
      <c r="A106" s="5"/>
      <c r="B106" s="2"/>
    </row>
    <row r="107" spans="1:2" x14ac:dyDescent="0.25">
      <c r="A107" s="5"/>
      <c r="B107" s="2"/>
    </row>
    <row r="108" spans="1:2" x14ac:dyDescent="0.25">
      <c r="A108" s="5"/>
      <c r="B108" s="2"/>
    </row>
    <row r="109" spans="1:2" x14ac:dyDescent="0.25">
      <c r="A109" s="5"/>
      <c r="B109" s="2"/>
    </row>
    <row r="110" spans="1:2" x14ac:dyDescent="0.25">
      <c r="A110" s="5"/>
      <c r="B110" s="2"/>
    </row>
    <row r="111" spans="1:2" x14ac:dyDescent="0.25">
      <c r="A111" s="5"/>
      <c r="B111" s="2"/>
    </row>
    <row r="112" spans="1:2" x14ac:dyDescent="0.25">
      <c r="A112" s="5"/>
      <c r="B112" s="2"/>
    </row>
    <row r="113" spans="1:2" x14ac:dyDescent="0.25">
      <c r="A113" s="5"/>
      <c r="B113" s="2"/>
    </row>
    <row r="114" spans="1:2" x14ac:dyDescent="0.25">
      <c r="A114" s="5"/>
      <c r="B114" s="2"/>
    </row>
    <row r="115" spans="1:2" x14ac:dyDescent="0.25">
      <c r="A115" s="5"/>
      <c r="B115" s="2"/>
    </row>
    <row r="116" spans="1:2" x14ac:dyDescent="0.25">
      <c r="A116" s="5"/>
      <c r="B116" s="2"/>
    </row>
    <row r="117" spans="1:2" x14ac:dyDescent="0.25">
      <c r="A117" s="5"/>
      <c r="B117" s="2"/>
    </row>
    <row r="118" spans="1:2" x14ac:dyDescent="0.25">
      <c r="A118" s="5"/>
      <c r="B118" s="2"/>
    </row>
    <row r="119" spans="1:2" x14ac:dyDescent="0.25">
      <c r="A119" s="5"/>
      <c r="B119" s="2"/>
    </row>
    <row r="120" spans="1:2" x14ac:dyDescent="0.25">
      <c r="A120" s="5"/>
      <c r="B120" s="2"/>
    </row>
    <row r="121" spans="1:2" x14ac:dyDescent="0.25">
      <c r="A121" s="5"/>
      <c r="B121" s="2"/>
    </row>
    <row r="122" spans="1:2" x14ac:dyDescent="0.25">
      <c r="A122" s="5"/>
      <c r="B122" s="2"/>
    </row>
    <row r="123" spans="1:2" x14ac:dyDescent="0.25">
      <c r="A123" s="5"/>
      <c r="B123" s="2"/>
    </row>
    <row r="124" spans="1:2" x14ac:dyDescent="0.25">
      <c r="A124" s="5"/>
      <c r="B124" s="2"/>
    </row>
    <row r="125" spans="1:2" x14ac:dyDescent="0.25">
      <c r="A125" s="5"/>
      <c r="B125" s="2"/>
    </row>
    <row r="126" spans="1:2" x14ac:dyDescent="0.25">
      <c r="A126" s="5"/>
      <c r="B126" s="2"/>
    </row>
    <row r="127" spans="1:2" x14ac:dyDescent="0.25">
      <c r="A127" s="5"/>
      <c r="B127" s="2"/>
    </row>
    <row r="128" spans="1:2" x14ac:dyDescent="0.25">
      <c r="A128" s="5"/>
      <c r="B128" s="2"/>
    </row>
    <row r="129" spans="1:2" x14ac:dyDescent="0.25">
      <c r="A129" s="5"/>
      <c r="B129" s="2"/>
    </row>
    <row r="130" spans="1:2" x14ac:dyDescent="0.25">
      <c r="A130" s="5"/>
      <c r="B130" s="2"/>
    </row>
    <row r="131" spans="1:2" x14ac:dyDescent="0.25">
      <c r="A131" s="5"/>
      <c r="B131" s="2"/>
    </row>
    <row r="132" spans="1:2" x14ac:dyDescent="0.25">
      <c r="A132" s="5"/>
      <c r="B132" s="2"/>
    </row>
    <row r="133" spans="1:2" x14ac:dyDescent="0.25">
      <c r="A133" s="5"/>
      <c r="B133" s="2"/>
    </row>
    <row r="134" spans="1:2" x14ac:dyDescent="0.25">
      <c r="A134" s="5"/>
      <c r="B134" s="2"/>
    </row>
    <row r="135" spans="1:2" x14ac:dyDescent="0.25">
      <c r="A135" s="5"/>
      <c r="B135" s="2"/>
    </row>
    <row r="136" spans="1:2" x14ac:dyDescent="0.25">
      <c r="A136" s="5"/>
      <c r="B136" s="2"/>
    </row>
    <row r="137" spans="1:2" x14ac:dyDescent="0.25">
      <c r="A137" s="5"/>
      <c r="B137" s="2"/>
    </row>
    <row r="138" spans="1:2" x14ac:dyDescent="0.25">
      <c r="A138" s="5"/>
      <c r="B138" s="2"/>
    </row>
    <row r="139" spans="1:2" x14ac:dyDescent="0.25">
      <c r="A139" s="5"/>
      <c r="B139" s="2"/>
    </row>
    <row r="140" spans="1:2" x14ac:dyDescent="0.25">
      <c r="A140" s="5"/>
      <c r="B140" s="2"/>
    </row>
    <row r="141" spans="1:2" x14ac:dyDescent="0.25">
      <c r="A141" s="5"/>
      <c r="B141" s="2"/>
    </row>
    <row r="142" spans="1:2" x14ac:dyDescent="0.25">
      <c r="A142" s="5"/>
      <c r="B142" s="2"/>
    </row>
    <row r="143" spans="1:2" x14ac:dyDescent="0.25">
      <c r="A143" s="5"/>
      <c r="B143" s="2"/>
    </row>
    <row r="144" spans="1:2" x14ac:dyDescent="0.25">
      <c r="A144" s="5"/>
      <c r="B144" s="2"/>
    </row>
    <row r="145" spans="1:2" x14ac:dyDescent="0.25">
      <c r="A145" s="5"/>
      <c r="B145" s="2"/>
    </row>
    <row r="146" spans="1:2" x14ac:dyDescent="0.25">
      <c r="A146" s="5"/>
      <c r="B146" s="2"/>
    </row>
    <row r="147" spans="1:2" x14ac:dyDescent="0.25">
      <c r="A147" s="5"/>
      <c r="B147" s="2"/>
    </row>
    <row r="148" spans="1:2" x14ac:dyDescent="0.25">
      <c r="A148" s="5"/>
      <c r="B148" s="2"/>
    </row>
    <row r="149" spans="1:2" x14ac:dyDescent="0.25">
      <c r="A149" s="5"/>
      <c r="B149" s="2"/>
    </row>
    <row r="150" spans="1:2" x14ac:dyDescent="0.25">
      <c r="A150" s="5"/>
      <c r="B150" s="2"/>
    </row>
    <row r="151" spans="1:2" x14ac:dyDescent="0.25">
      <c r="A151" s="5"/>
      <c r="B151" s="2"/>
    </row>
    <row r="152" spans="1:2" x14ac:dyDescent="0.25">
      <c r="A152" s="5"/>
      <c r="B152" s="2"/>
    </row>
    <row r="153" spans="1:2" x14ac:dyDescent="0.25">
      <c r="A153" s="5"/>
      <c r="B153" s="2"/>
    </row>
    <row r="154" spans="1:2" x14ac:dyDescent="0.25">
      <c r="A154" s="5"/>
      <c r="B154" s="2"/>
    </row>
    <row r="155" spans="1:2" x14ac:dyDescent="0.25">
      <c r="A155" s="5"/>
      <c r="B155" s="2"/>
    </row>
    <row r="156" spans="1:2" x14ac:dyDescent="0.25">
      <c r="A156" s="5"/>
      <c r="B156" s="2"/>
    </row>
    <row r="157" spans="1:2" x14ac:dyDescent="0.25">
      <c r="A157" s="5"/>
      <c r="B157" s="2"/>
    </row>
    <row r="158" spans="1:2" x14ac:dyDescent="0.25">
      <c r="A158" s="5"/>
      <c r="B158" s="2"/>
    </row>
    <row r="159" spans="1:2" x14ac:dyDescent="0.25">
      <c r="A159" s="5"/>
      <c r="B159" s="2"/>
    </row>
    <row r="160" spans="1:2" x14ac:dyDescent="0.25">
      <c r="A160" s="5"/>
      <c r="B160" s="2"/>
    </row>
    <row r="161" spans="1:2" x14ac:dyDescent="0.25">
      <c r="A161" s="5"/>
      <c r="B161" s="2"/>
    </row>
    <row r="162" spans="1:2" x14ac:dyDescent="0.25">
      <c r="A162" s="5"/>
      <c r="B162" s="2"/>
    </row>
    <row r="163" spans="1:2" x14ac:dyDescent="0.25">
      <c r="A163" s="5"/>
      <c r="B163" s="2"/>
    </row>
    <row r="164" spans="1:2" x14ac:dyDescent="0.25">
      <c r="A164" s="5"/>
      <c r="B164" s="2"/>
    </row>
    <row r="165" spans="1:2" x14ac:dyDescent="0.25">
      <c r="A165" s="5"/>
      <c r="B165" s="2"/>
    </row>
    <row r="166" spans="1:2" x14ac:dyDescent="0.25">
      <c r="A166" s="5"/>
      <c r="B166" s="2"/>
    </row>
    <row r="167" spans="1:2" x14ac:dyDescent="0.25">
      <c r="A167" s="5"/>
      <c r="B167" s="2"/>
    </row>
    <row r="168" spans="1:2" x14ac:dyDescent="0.25">
      <c r="A168" s="5"/>
      <c r="B168" s="2"/>
    </row>
    <row r="169" spans="1:2" x14ac:dyDescent="0.25">
      <c r="A169" s="5"/>
      <c r="B169" s="2"/>
    </row>
    <row r="170" spans="1:2" x14ac:dyDescent="0.25">
      <c r="A170" s="5"/>
      <c r="B170" s="2"/>
    </row>
    <row r="171" spans="1:2" x14ac:dyDescent="0.25">
      <c r="A171" s="5"/>
      <c r="B171" s="2"/>
    </row>
    <row r="172" spans="1:2" x14ac:dyDescent="0.25">
      <c r="A172" s="5"/>
      <c r="B172" s="2"/>
    </row>
    <row r="173" spans="1:2" x14ac:dyDescent="0.25">
      <c r="A173" s="5"/>
      <c r="B173" s="2"/>
    </row>
    <row r="174" spans="1:2" x14ac:dyDescent="0.25">
      <c r="A174" s="5"/>
      <c r="B174" s="2"/>
    </row>
    <row r="175" spans="1:2" x14ac:dyDescent="0.25">
      <c r="A175" s="7"/>
      <c r="B175" s="2"/>
    </row>
  </sheetData>
  <autoFilter ref="A1:A175" xr:uid="{00000000-0009-0000-0000-000001000000}">
    <sortState xmlns:xlrd2="http://schemas.microsoft.com/office/spreadsheetml/2017/richdata2" ref="A2:A175">
      <sortCondition ref="A1:A17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NormDistr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Goodvin</cp:lastModifiedBy>
  <dcterms:created xsi:type="dcterms:W3CDTF">2006-09-16T00:00:00Z</dcterms:created>
  <dcterms:modified xsi:type="dcterms:W3CDTF">2025-10-02T07:12:33Z</dcterms:modified>
</cp:coreProperties>
</file>